
<file path=[Content_Types].xml><?xml version="1.0" encoding="utf-8"?>
<Types xmlns="http://schemas.openxmlformats.org/package/2006/content-types">
  <Default ContentType="image/png" Extension="png"/>
  <Default ContentType="application/vnd.openxmlformats-officedocument.spreadsheetml.printerSettings" Extension="bin"/>
  <Default ContentType="image/jpeg" Extension="jpe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+xml" PartName="/xl/drawings/drawing3.xml"/>
  <Override ContentType="application/vnd.openxmlformats-officedocument.drawingml.chart+xml" PartName="/xl/charts/chart2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drawingml.chart+xml" PartName="/xl/charts/chart3.xml"/>
  <Override ContentType="application/vnd.ms-office.chartstyle+xml" PartName="/xl/charts/style3.xml"/>
  <Override ContentType="application/vnd.ms-office.chartcolorstyle+xml" PartName="/xl/charts/colors3.xml"/>
  <Override ContentType="application/vnd.openxmlformats-officedocument.drawingml.chart+xml" PartName="/xl/charts/chart4.xml"/>
  <Override ContentType="application/vnd.ms-office.chartstyle+xml" PartName="/xl/charts/style4.xml"/>
  <Override ContentType="application/vnd.ms-office.chartcolorstyle+xml" PartName="/xl/charts/colors4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$MyDocuments\$$Pretium Analytics\$$Customers\$IBM\$Data Gravity\Data Gravity Calculator\"/>
    </mc:Choice>
  </mc:AlternateContent>
  <xr:revisionPtr revIDLastSave="0" documentId="13_ncr:1_{689E5736-D902-4E5F-9863-330C169CB855}" xr6:coauthVersionLast="37" xr6:coauthVersionMax="37" xr10:uidLastSave="{00000000-0000-0000-0000-000000000000}"/>
  <bookViews>
    <workbookView xWindow="0" yWindow="0" windowWidth="11508" windowHeight="9636" tabRatio="928" firstSheet="1" activeTab="1" xr2:uid="{00000000-000D-0000-FFFF-FFFF00000000}"/>
  </bookViews>
  <sheets>
    <sheet name="Value Drivers" sheetId="1" state="hidden" r:id="rId1"/>
    <sheet name="Macro OUTPUT" sheetId="37" r:id="rId2"/>
    <sheet name="Dropdowns" sheetId="13" r:id="rId3"/>
    <sheet name="Input" sheetId="11" r:id="rId4"/>
    <sheet name="Calculator" sheetId="32" r:id="rId5"/>
    <sheet name="Results" sheetId="36" r:id="rId6"/>
    <sheet name="Costs 2" sheetId="18" state="hidden" r:id="rId7"/>
  </sheets>
  <externalReferences>
    <externalReference r:id="rId8"/>
    <externalReference r:id="rId9"/>
    <externalReference r:id="rId10"/>
  </externalReferences>
  <definedNames>
    <definedName name="A">#REF!</definedName>
    <definedName name="a16\">[file:///D:\Documents%20and%20Settings\Sid\Local%20Settings\Temporary%20Internet%20Files\Content.IE5\89MHENQZ\comp.xls]Omeg!#REF!</definedName>
    <definedName name="A22E481">#REF!</definedName>
    <definedName name="A444\">#REF!</definedName>
    <definedName name="col_LastzServer">#REF!</definedName>
    <definedName name="DistSoftware">'[2]General Assumptions'!$C$20:$C$58</definedName>
    <definedName name="Hosting">'[2]General Assumptions'!$C$285:$C$289</definedName>
    <definedName name="IBMSoftware">'[2]General Assumptions'!#REF!</definedName>
    <definedName name="Manpower">'[2]General Assumptions'!$C$302:$C$306</definedName>
    <definedName name="Networking">'[2]General Assumptions'!$C$293:$C$298</definedName>
    <definedName name="OSSoftware">'[2]General Assumptions'!$C$62:$C$231</definedName>
    <definedName name="rfee">[file:///D:\WINDOWS\TEMP\MERKLE.xls]Sheet1B!#REF!</definedName>
    <definedName name="row_1stCore">#REF!</definedName>
    <definedName name="row_GHz">#REF!</definedName>
    <definedName name="row_MaxCores">#REF!</definedName>
    <definedName name="row_MaxMIPS">#REF!</definedName>
    <definedName name="SAIF">#REF!</definedName>
    <definedName name="SLA">#REF!</definedName>
  </definedNames>
  <calcPr calcId="179021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<sst xmlns="http://schemas.openxmlformats.org/spreadsheetml/2006/main" count="258" uniqueCount="258">
  <si>
    <t>Inputs to the Model</t>
  </si>
  <si>
    <t xml:space="preserve">Industry </t>
  </si>
  <si>
    <t>Finance</t>
  </si>
  <si>
    <t>Use Case</t>
  </si>
  <si>
    <t>Reduce Risk and Fraud</t>
  </si>
  <si>
    <t>Investment</t>
  </si>
  <si>
    <t>Type of Analytics</t>
  </si>
  <si>
    <t>IBM DB2 Analytics Accelerator</t>
  </si>
  <si>
    <t>Z14 Category</t>
  </si>
  <si>
    <t>If investment is betweeen 1 -3 million - small, 3 - 5 million medim; 5 - 10 million is Large; &gt; 10 million is very large</t>
  </si>
  <si>
    <t>X86 Category</t>
  </si>
  <si>
    <t>Industry</t>
  </si>
  <si>
    <t xml:space="preserve">Use Case 1 </t>
  </si>
  <si>
    <t>Use Case 2</t>
  </si>
  <si>
    <t>End of Period Processing</t>
  </si>
  <si>
    <t>Retail</t>
  </si>
  <si>
    <t>Reveue form User Experience</t>
  </si>
  <si>
    <t>Revenue from Loyalty Programs</t>
  </si>
  <si>
    <t xml:space="preserve">Healthcare </t>
  </si>
  <si>
    <t>Improve Claims Optimization</t>
  </si>
  <si>
    <t>Improve care and reduce cost</t>
  </si>
  <si>
    <t>Telecom</t>
  </si>
  <si>
    <t>Prevent Customer Churn</t>
  </si>
  <si>
    <t xml:space="preserve">Quality of Customer Experience </t>
  </si>
  <si>
    <t>Open Data Analytics</t>
  </si>
  <si>
    <t>IBM Machine Learning</t>
  </si>
  <si>
    <t>Small</t>
  </si>
  <si>
    <t>Medium</t>
  </si>
  <si>
    <t>Large</t>
  </si>
  <si>
    <t>Acquisition Cost</t>
  </si>
  <si>
    <t>Beenfits of Z14</t>
  </si>
  <si>
    <t>Server HW and SW</t>
  </si>
  <si>
    <t>Security</t>
  </si>
  <si>
    <t>Network HW and SW</t>
  </si>
  <si>
    <t>Availability</t>
  </si>
  <si>
    <t>Installation</t>
  </si>
  <si>
    <t>Scalability</t>
  </si>
  <si>
    <t>Warrenties &amp; Licence</t>
  </si>
  <si>
    <t>Manageability</t>
  </si>
  <si>
    <t>Risks</t>
  </si>
  <si>
    <t>Analytics</t>
  </si>
  <si>
    <t>Administration Cost</t>
  </si>
  <si>
    <t>Prevent Fraud</t>
  </si>
  <si>
    <t>Administrator</t>
  </si>
  <si>
    <t>Reduce customer chrun</t>
  </si>
  <si>
    <t>Cross sell and upsell opportunities</t>
  </si>
  <si>
    <t>Operating volume</t>
  </si>
  <si>
    <t>Maintenance Cost</t>
  </si>
  <si>
    <t>Hardware Maintenance</t>
  </si>
  <si>
    <t>Benefits of Z4</t>
  </si>
  <si>
    <t>Software Maintenance</t>
  </si>
  <si>
    <t>SPEED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</si>
  <si>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>Dramatically improve query response – up to 2000X faster – to support time-sensitive decisions</t>
    </r>
  </si>
  <si>
    <t>Software Cost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</si>
  <si>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>Right-time. Low latency. Trusted. Accurate.</t>
    </r>
  </si>
  <si>
    <t>Annual Licensing Cost</t>
  </si>
  <si>
    <t>SAVINGS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</si>
  <si>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>Minimize data proliferation</t>
    </r>
  </si>
  <si>
    <t>Operations Cost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</si>
  <si>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>Lower the cost of storing and managing historical data</t>
    </r>
  </si>
  <si>
    <t>Power, cooling and floor space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</si>
  <si>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 xml:space="preserve">Free up compute resources </t>
    </r>
  </si>
  <si>
    <t>License cost</t>
  </si>
  <si>
    <t>SIMPLICITY</t>
  </si>
  <si>
    <t>Maintenance &amp; Repair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</si>
  <si>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 xml:space="preserve">Simplify infrastructure, reduce ETL and data movement off-platform </t>
    </r>
  </si>
  <si>
    <t>Personnel cost (Admin, Eng.)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</si>
  <si>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>Non-disruptive installation</t>
    </r>
  </si>
  <si>
    <t>Providing Security</t>
  </si>
  <si>
    <t>SECURITY</t>
  </si>
  <si>
    <t>Backup and recovery</t>
  </si>
  <si>
    <r xmlns="http://schemas.openxmlformats.org/spreadsheetml/2006/main">
      <t>•</t>
    </r>
    <r xmlns="http://schemas.openxmlformats.org/spreadsheetml/2006/main">
      <rPr>
        <sz val="11"/>
        <color rgb="FF000000"/>
        <rFont val="Arial"/>
        <family val="2"/>
      </rPr>
      <t xml:space="preserve">Safeguard valuable data under the control and security of DB2 for z/OS </t>
    </r>
  </si>
  <si>
    <t>Audit (Internal &amp; External)</t>
  </si>
  <si>
    <t>Protected. Secured. Governed.</t>
  </si>
  <si>
    <t>Insurance</t>
  </si>
  <si>
    <t>Taxes</t>
  </si>
  <si>
    <t>Downtime</t>
  </si>
  <si>
    <t xml:space="preserve">Testing &amp; Training </t>
  </si>
  <si>
    <t>Data Movement Cost</t>
  </si>
  <si>
    <t>Cost of moving 1 TB</t>
  </si>
  <si>
    <t>Workload time</t>
  </si>
  <si>
    <t>Reports per hour</t>
  </si>
  <si>
    <t>Cost per report per hour</t>
  </si>
  <si>
    <t xml:space="preserve">C-level Productivity </t>
  </si>
  <si>
    <t>CFO</t>
  </si>
  <si>
    <t>CRO</t>
  </si>
  <si>
    <t>CIO</t>
  </si>
  <si>
    <t>CMO</t>
  </si>
  <si>
    <t xml:space="preserve">IT Professional Productivity </t>
  </si>
  <si>
    <t>Data Scientist</t>
  </si>
  <si>
    <t>Data Engineer</t>
  </si>
  <si>
    <t>Developer</t>
  </si>
  <si>
    <t>Analyst</t>
  </si>
  <si>
    <t xml:space="preserve">Organizational Productivity </t>
  </si>
  <si>
    <t>Process Streamlining</t>
  </si>
  <si>
    <t>Governance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</si>
  <si>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Isolation of users in a separate address space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</si>
  <si>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Processing integrity with LPAR separation (PR/SM)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</si>
  <si>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HiperSockets - In memory communication between LPARs</t>
    </r>
  </si>
  <si>
    <t>Revenue Increase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</si>
  <si>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System programs separated from user programs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</si>
  <si>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 xml:space="preserve">Authorized Program Facility (APF) </t>
    </r>
  </si>
  <si>
    <t>Trusted Relations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</si>
  <si>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Strict division between privileged and non-privileged instructions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</si>
  <si>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Strict division between configuration hardware (SE) and runtime hardware</t>
    </r>
  </si>
  <si>
    <t>Faster Time to Value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</si>
  <si>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No access to privileged state unless authorized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</si>
  <si>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z Systems Firmware</t>
    </r>
  </si>
  <si>
    <t>End to End Security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</si>
  <si>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High speed cryptography integrated on the new Crypto Express4S chip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</si>
  <si>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Enhanced digital signature capability with new Enterprise PKCS #11</t>
    </r>
  </si>
  <si>
    <t>Reduced Downtime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</si>
  <si>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New credit transaction verification support for smart payment cards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</si>
  <si>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Enterprise Key Management Foundation</t>
    </r>
  </si>
  <si>
    <t>Improved Compliance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</si>
  <si>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Viruses cannot be readily introduced</t>
    </r>
  </si>
  <si>
    <t>ROI - Z14</t>
  </si>
  <si>
    <t>ROI - X86</t>
  </si>
  <si>
    <t>Payback Z14</t>
  </si>
  <si>
    <t>Payback X86</t>
  </si>
  <si>
    <t>SA- Z14</t>
  </si>
  <si>
    <t>SA-X26</t>
  </si>
  <si>
    <t>SY - Z14</t>
  </si>
  <si>
    <t>SY-X26</t>
  </si>
  <si>
    <t>OC-Z14</t>
  </si>
  <si>
    <t>OC-X26</t>
  </si>
  <si>
    <t>CP- Z14</t>
  </si>
  <si>
    <t>CP-X26</t>
  </si>
  <si>
    <t>ITP - Z14</t>
  </si>
  <si>
    <t>ITP -X26</t>
  </si>
  <si>
    <t>OP-Z14</t>
  </si>
  <si>
    <t>OP-X26</t>
  </si>
  <si>
    <t>IR - Z14</t>
  </si>
  <si>
    <t>IR -X26</t>
  </si>
  <si>
    <t>FTV - Z14</t>
  </si>
  <si>
    <t>FTV -X26</t>
  </si>
  <si>
    <t>TE -Z14</t>
  </si>
  <si>
    <t>TE -X26</t>
  </si>
  <si>
    <t>ES - Z14</t>
  </si>
  <si>
    <t>ES-X26</t>
  </si>
  <si>
    <t>GC - Z14</t>
  </si>
  <si>
    <t>GC -X26</t>
  </si>
  <si>
    <t>RD -Z14</t>
  </si>
  <si>
    <t>RD -X26</t>
  </si>
  <si>
    <t>%SA</t>
  </si>
  <si>
    <t>%SY</t>
  </si>
  <si>
    <t>%OC</t>
  </si>
  <si>
    <t>%CP</t>
  </si>
  <si>
    <t>%ITP</t>
  </si>
  <si>
    <t>%OP</t>
  </si>
  <si>
    <t>%IR</t>
  </si>
  <si>
    <t>%FTV</t>
  </si>
  <si>
    <t>%TE</t>
  </si>
  <si>
    <t>%ES</t>
  </si>
  <si>
    <t>%GC</t>
  </si>
  <si>
    <t>%RD</t>
  </si>
  <si>
    <t>Number of cores</t>
  </si>
  <si>
    <t>Number of TB of Data</t>
  </si>
  <si>
    <t>From HP</t>
  </si>
  <si>
    <t>Hardware Acquisition Cost</t>
  </si>
  <si>
    <t>Hardware Maintenance Cost</t>
  </si>
  <si>
    <t>Software Cost / year</t>
  </si>
  <si>
    <t>IBM Software Cost / year</t>
  </si>
  <si>
    <t xml:space="preserve">Mainframe Software Cost /  year</t>
  </si>
  <si>
    <t>Electricity</t>
  </si>
  <si>
    <t>Space</t>
  </si>
  <si>
    <t>Manpower</t>
  </si>
  <si>
    <t>Values</t>
  </si>
  <si>
    <t>Z14</t>
  </si>
  <si>
    <t>X86</t>
  </si>
  <si>
    <t>ROI</t>
  </si>
  <si>
    <t>Payback Period</t>
  </si>
  <si>
    <t>Quadrant 1</t>
  </si>
  <si>
    <t>SA-Software Acquisition Cost</t>
  </si>
  <si>
    <t>SY - System Acquisition Cost</t>
  </si>
  <si>
    <t>OC-Operations cost</t>
  </si>
  <si>
    <t>Quadrant 2</t>
  </si>
  <si>
    <t>CP - C-level executive productivity</t>
  </si>
  <si>
    <t>ITP IT personnel productivity</t>
  </si>
  <si>
    <t>OP - Organizational Productivity</t>
  </si>
  <si>
    <t>Quadrant 3</t>
  </si>
  <si>
    <t>IR - Improved Revenue</t>
  </si>
  <si>
    <t>FTV - Faster-time-to-value</t>
  </si>
  <si>
    <t>TE - Trusted Experiences</t>
  </si>
  <si>
    <t>Quadrant 4</t>
  </si>
  <si>
    <t>ES - End-to-End Security</t>
  </si>
  <si>
    <t>GC - Improved governance and compliance</t>
  </si>
  <si>
    <t>RD - Reduced downtime</t>
  </si>
  <si>
    <t>Customer Input from the Input Page</t>
  </si>
  <si>
    <t>Use case</t>
  </si>
  <si>
    <t>BEGIN Range</t>
  </si>
  <si>
    <t>SMALL</t>
  </si>
  <si>
    <t>MEDIUM</t>
  </si>
  <si>
    <t>LARGE</t>
  </si>
  <si>
    <t>END RANGE</t>
  </si>
  <si>
    <t>ROI Conversion Table</t>
  </si>
  <si>
    <t>Payback</t>
  </si>
  <si>
    <t>Total Benefits</t>
  </si>
  <si>
    <t>Total Costs</t>
  </si>
  <si>
    <t>Chosen Range</t>
  </si>
  <si>
    <t>Very Small</t>
  </si>
  <si>
    <t xml:space="preserve">Very Large </t>
  </si>
  <si>
    <t>Yearly Cost and Benefits Table</t>
  </si>
  <si>
    <t>System Acquisition Cost</t>
  </si>
  <si>
    <t>Software Acquisition Cost</t>
  </si>
  <si>
    <t>Operations cost</t>
  </si>
  <si>
    <t>C-level executive productivity</t>
  </si>
  <si>
    <t>IT personnel productivity</t>
  </si>
  <si>
    <t>Organizational Productivity</t>
  </si>
  <si>
    <t>Improved Revenue</t>
  </si>
  <si>
    <t>Faster-time-to-value</t>
  </si>
  <si>
    <t>Trusted Experiences</t>
  </si>
  <si>
    <t>End-to-End Security</t>
  </si>
  <si>
    <t>Improved governance and compliance</t>
  </si>
  <si>
    <t>Reduced downtime</t>
  </si>
  <si>
    <t>Ratio</t>
  </si>
  <si>
    <t>S-m</t>
  </si>
  <si>
    <t>m-l</t>
  </si>
  <si>
    <t>Total costs</t>
  </si>
  <si>
    <t>Year 0</t>
  </si>
  <si>
    <t>Year 1</t>
  </si>
  <si>
    <t>Year 2</t>
  </si>
  <si>
    <t>Year 3</t>
  </si>
  <si>
    <t>Total</t>
  </si>
  <si>
    <t>Risk Adjustment</t>
  </si>
  <si>
    <t>Risk Adjusted Total Costs</t>
  </si>
  <si>
    <t>Financial Instrument</t>
  </si>
  <si>
    <t>Margin</t>
  </si>
  <si>
    <t>Time Period</t>
  </si>
  <si>
    <t>Total inflow</t>
  </si>
  <si>
    <t>Amount Left to Pay</t>
  </si>
  <si>
    <t>Return on Investment</t>
  </si>
  <si>
    <t>Net Present Value</t>
  </si>
  <si>
    <t>Payback Period Yeard and Months</t>
  </si>
  <si>
    <t>Total Cost of Ownership</t>
  </si>
  <si>
    <t>Low Range</t>
  </si>
  <si>
    <t>High Range</t>
  </si>
  <si>
    <t xml:space="preserve">Payback Period  Years and Months</t>
  </si>
  <si>
    <t>Industry Multiplier</t>
  </si>
  <si>
    <t>ROI Multiplier</t>
  </si>
  <si>
    <t>Benefit Multiplier</t>
  </si>
  <si>
    <t>Healthcare</t>
  </si>
  <si>
    <t>Use Case Multiplier</t>
  </si>
  <si>
    <t>Cost Multiplier</t>
  </si>
  <si>
    <t>Output Values</t>
  </si>
  <si>
    <t>ROI for the given problem</t>
  </si>
  <si>
    <t>Payback Period for the given problem</t>
  </si>
  <si>
    <t>Costs and Benefits per Quadrant</t>
  </si>
  <si>
    <t>Quadrant 1 - Costs</t>
  </si>
  <si>
    <t>Quadrant 2 - Productivity</t>
  </si>
  <si>
    <t>Quadrant 3 - Revenue</t>
  </si>
  <si>
    <t>Quadrant 4 - Risk</t>
  </si>
  <si>
    <t xml:space="preserve">Chosen Industry </t>
  </si>
  <si>
    <t>Chosen Use Case</t>
  </si>
  <si>
    <t>Chosen Analytics Type</t>
  </si>
  <si>
    <t>Output</t>
  </si>
  <si>
    <t>Payback {eriod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</si>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</sst>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_);[Red]\(&quot;$&quot;#,##0\)"/>
    <numFmt numFmtId="44" formatCode="_(&quot;$&quot;* #,##0.00_);_(&quot;$&quot;* \(#,##0.00\);_(&quot;$&quot;* &quot;-&quot;??_);_(@_)"/>
    <numFmt numFmtId="164" formatCode="&quot;$&quot;#,##0.00"/>
    <numFmt numFmtId="165" formatCode="&quot;$&quot;#,##0"/>
    <numFmt numFmtId="166" formatCode="0.0%"/>
    <numFmt numFmtId="167" formatCode="0.000"/>
    <numFmt numFmtId="168" formatCode="0.0000"/>
  </numFmts>
  <fonts count="1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b/>
      <u/>
      <sz val="11"/>
      <color rgb="FF000000"/>
      <name val="Arial"/>
      <family val="2"/>
    </font>
    <font>
      <sz val="14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sz val="14"/>
      <color theme="3"/>
      <name val="Calibri Light"/>
      <family val="2"/>
      <scheme val="major"/>
    </font>
    <font>
      <sz val="15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3"/>
      <name val="Calibri Light"/>
      <family val="2"/>
      <scheme val="maj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09997863704336680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04998931852168340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medium">
        <color rgb="FFFFFFFF"/>
      </left>
      <right style="medium">
        <color rgb="FFFFFFFF"/>
      </right>
      <top/>
      <bottom style="thick">
        <color rgb="FFFFFFFF"/>
      </bottom>
      <diagonal/>
    </border>
    <border>
      <left style="medium">
        <color rgb="FFFFFFFF"/>
      </left>
      <right style="medium">
        <color rgb="FFFFFFFF"/>
      </right>
      <top style="thick">
        <color rgb="FFFFFFFF"/>
      </top>
      <bottom/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44" fontId="6" fillId="0" borderId="0"/>
    <xf numFmtId="0" fontId="12" fillId="0" borderId="30"/>
    <xf numFmtId="0" fontId="6" fillId="0" borderId="0"/>
    <xf numFmtId="9" fontId="1" fillId="0" borderId="0"/>
    <xf numFmtId="9" fontId="6" fillId="0" borderId="0"/>
    <xf numFmtId="0" fontId="11" fillId="0" borderId="0"/>
  </cellStyleXfs>
  <cellXfs count="310">
    <xf numFmtId="0" applyNumberFormat="1" fontId="0" applyFont="1" fillId="0" applyFill="1" borderId="0" applyBorder="1" xfId="0"/>
    <xf numFmtId="44" applyNumberFormat="1" fontId="6" applyFont="1" fillId="0" applyFill="1" borderId="0" applyBorder="1" xfId="1"/>
    <xf numFmtId="0" applyNumberFormat="1" fontId="12" applyFont="1" fillId="0" applyFill="1" borderId="30" applyBorder="1" xfId="2"/>
    <xf numFmtId="0" applyNumberFormat="1" fontId="6" applyFont="1" fillId="0" applyFill="1" borderId="0" applyBorder="1" xfId="3"/>
    <xf numFmtId="9" applyNumberFormat="1" fontId="1" applyFont="1" fillId="0" applyFill="1" borderId="0" applyBorder="1" xfId="4"/>
    <xf numFmtId="9" applyNumberFormat="1" fontId="6" applyFont="1" fillId="0" applyFill="1" borderId="0" applyBorder="1" xfId="5"/>
    <xf numFmtId="0" applyNumberFormat="1" fontId="11" applyFont="1" fillId="0" applyFill="1" borderId="0" applyBorder="1" xfId="6"/>
    <xf numFmtId="0" applyNumberFormat="1" fontId="0" applyFont="1" fillId="0" applyFill="1" borderId="0" applyBorder="1" xfId="0"/>
    <xf numFmtId="0" applyNumberFormat="1" fontId="0" applyFont="1" fillId="0" applyFill="1" borderId="4" applyBorder="1" xfId="0"/>
    <xf numFmtId="0" applyNumberFormat="1" fontId="0" applyFont="1" fillId="0" applyFill="1" borderId="5" applyBorder="1" xfId="0"/>
    <xf numFmtId="165" applyNumberFormat="1" fontId="0" applyFont="1" fillId="0" applyFill="1" borderId="0" applyBorder="1" xfId="0"/>
    <xf numFmtId="0" applyNumberFormat="1" fontId="0" applyFont="1" fillId="0" applyFill="1" borderId="10" applyBorder="1" xfId="0"/>
    <xf numFmtId="2" applyNumberFormat="1" fontId="0" applyFont="1" fillId="0" applyFill="1" borderId="0" applyBorder="1" xfId="0"/>
    <xf numFmtId="0" applyNumberFormat="1" fontId="0" applyFont="1" fillId="0" applyFill="1" borderId="6" applyBorder="1" xfId="0"/>
    <xf numFmtId="9" applyNumberFormat="1" fontId="0" applyFont="1" fillId="0" applyFill="1" borderId="0" applyBorder="1" xfId="0"/>
    <xf numFmtId="0" applyNumberFormat="1" fontId="2" applyFont="1" fillId="2" applyFill="1" borderId="1" applyBorder="1" xfId="0">
      <alignment horizontal="left" vertical="center"/>
    </xf>
    <xf numFmtId="0" applyNumberFormat="1" fontId="0" applyFont="1" fillId="0" applyFill="1" borderId="9" applyBorder="1" xfId="0"/>
    <xf numFmtId="0" applyNumberFormat="1" fontId="0" applyFont="1" fillId="0" applyFill="1" borderId="11" applyBorder="1" xfId="0"/>
    <xf numFmtId="0" applyNumberFormat="1" fontId="3" applyFont="1" fillId="2" applyFill="1" borderId="0" applyBorder="1" xfId="0"/>
    <xf numFmtId="0" applyNumberFormat="1" fontId="4" applyFont="1" fillId="0" applyFill="1" borderId="4" applyBorder="1" xfId="0">
      <alignment horizontal="left" vertical="center"/>
    </xf>
    <xf numFmtId="0" applyNumberFormat="1" fontId="5" applyFont="1" fillId="0" applyFill="1" borderId="0" applyBorder="1" xfId="0">
      <alignment horizontal="center" vertical="center"/>
    </xf>
    <xf numFmtId="0" applyNumberFormat="1" fontId="4" applyFont="1" fillId="0" applyFill="1" borderId="0" applyBorder="1" xfId="0"/>
    <xf numFmtId="0" applyNumberFormat="1" fontId="5" applyFont="1" fillId="2" applyFill="1" borderId="2" applyBorder="1" xfId="0">
      <alignment horizontal="center" vertical="center"/>
    </xf>
    <xf numFmtId="0" applyNumberFormat="1" fontId="4" applyFont="1" fillId="0" applyFill="1" borderId="0" applyBorder="1" xfId="0"/>
    <xf numFmtId="0" applyNumberFormat="1" fontId="4" applyFont="1" fillId="0" applyFill="1" borderId="10" applyBorder="1" xfId="0"/>
    <xf numFmtId="165" applyNumberFormat="1" fontId="4" applyFont="1" fillId="0" applyFill="1" borderId="0" applyBorder="1" xfId="0"/>
    <xf numFmtId="0" applyNumberFormat="1" fontId="4" applyFont="1" fillId="0" applyFill="1" borderId="0" applyBorder="1" xfId="0">
      <alignment horizontal="center" vertical="center"/>
    </xf>
    <xf numFmtId="165" applyNumberFormat="1" fontId="4" applyFont="1" fillId="0" applyFill="1" borderId="0" applyBorder="1" xfId="0">
      <alignment horizontal="center" vertical="center"/>
    </xf>
    <xf numFmtId="0" applyNumberFormat="1" fontId="4" applyFont="1" fillId="0" applyFill="1" borderId="6" applyBorder="1" xfId="0">
      <alignment horizontal="left" vertical="center"/>
    </xf>
    <xf numFmtId="0" applyNumberFormat="1" fontId="0" applyFont="1" fillId="0" applyFill="1" borderId="0" applyBorder="1" xfId="0"/>
    <xf numFmtId="165" applyNumberFormat="1" fontId="0" applyFont="1" fillId="0" applyFill="1" borderId="0" applyBorder="1" xfId="0"/>
    <xf numFmtId="10" applyNumberFormat="1" fontId="0" applyFont="1" fillId="0" applyFill="1" borderId="0" applyBorder="1" xfId="4"/>
    <xf numFmtId="165" applyNumberFormat="1" fontId="4" applyFont="1" fillId="0" applyFill="1" borderId="0" applyBorder="1" xfId="4">
      <alignment horizontal="center" vertical="center"/>
    </xf>
    <xf numFmtId="165" applyNumberFormat="1" fontId="5" applyFont="1" fillId="0" applyFill="1" borderId="5" applyBorder="1" xfId="0">
      <alignment horizontal="center" vertical="center"/>
    </xf>
    <xf numFmtId="0" applyNumberFormat="1" fontId="0" applyFont="1" fillId="0" applyFill="1" borderId="1" applyBorder="1" xfId="0"/>
    <xf numFmtId="0" applyNumberFormat="1" fontId="2" applyFont="1" fillId="2" applyFill="1" borderId="1" applyBorder="1" xfId="0">
      <alignment horizontal="center" vertical="center"/>
    </xf>
    <xf numFmtId="165" applyNumberFormat="1" fontId="4" applyFont="1" fillId="0" applyFill="1" borderId="7" applyBorder="1" xfId="0"/>
    <xf numFmtId="0" applyNumberFormat="1" fontId="0" applyFont="1" fillId="3" applyFill="1" borderId="13" applyBorder="1" xfId="0"/>
    <xf numFmtId="9" applyNumberFormat="1" fontId="4" applyFont="1" fillId="3" applyFill="1" borderId="14" applyBorder="1" xfId="4"/>
    <xf numFmtId="0" applyNumberFormat="1" fontId="0" applyFont="1" fillId="3" applyFill="1" borderId="15" applyBorder="1" xfId="0"/>
    <xf numFmtId="165" applyNumberFormat="1" fontId="4" applyFont="1" fillId="3" applyFill="1" borderId="16" applyBorder="1" xfId="0"/>
    <xf numFmtId="0" applyNumberFormat="1" fontId="0" applyFont="1" fillId="3" applyFill="1" borderId="17" applyBorder="1" xfId="0"/>
    <xf numFmtId="165" applyNumberFormat="1" fontId="4" applyFont="1" fillId="3" applyFill="1" borderId="18" applyBorder="1" xfId="0">
      <alignment horizontal="right"/>
    </xf>
    <xf numFmtId="164" applyNumberFormat="1" fontId="4" applyFont="1" fillId="0" applyFill="1" borderId="2" applyBorder="1" xfId="4"/>
    <xf numFmtId="165" applyNumberFormat="1" fontId="0" applyFont="1" fillId="0" applyFill="1" borderId="2" applyBorder="1" xfId="0"/>
    <xf numFmtId="165" applyNumberFormat="1" fontId="4" applyFont="1" fillId="0" applyFill="1" borderId="5" applyBorder="1" xfId="0"/>
    <xf numFmtId="0" applyNumberFormat="1" fontId="0" applyFont="1" fillId="5" applyFill="1" borderId="4" applyBorder="1" xfId="0"/>
    <xf numFmtId="165" applyNumberFormat="1" fontId="0" applyFont="1" fillId="5" applyFill="1" borderId="0" applyBorder="1" xfId="0"/>
    <xf numFmtId="9" applyNumberFormat="1" fontId="4" applyFont="1" fillId="0" applyFill="1" borderId="7" applyBorder="1" xfId="4">
      <alignment horizontal="center" vertical="center"/>
    </xf>
    <xf numFmtId="0" applyNumberFormat="1" fontId="4" applyFont="1" fillId="0" applyFill="1" borderId="0" applyBorder="1" xfId="0">
      <alignment horizontal="left" vertical="center"/>
    </xf>
    <xf numFmtId="0" applyNumberFormat="1" fontId="4" applyFont="1" fillId="4" applyFill="1" borderId="9" applyBorder="1" xfId="0">
      <alignment horizontal="left" vertical="center"/>
    </xf>
    <xf numFmtId="0" applyNumberFormat="1" fontId="4" applyFont="1" fillId="4" applyFill="1" borderId="19" applyBorder="1" xfId="0">
      <alignment horizontal="left" vertical="center"/>
    </xf>
    <xf numFmtId="165" applyNumberFormat="1" fontId="4" applyFont="1" fillId="4" applyFill="1" borderId="20" applyBorder="1" xfId="4">
      <alignment horizontal="center" vertical="center"/>
    </xf>
    <xf numFmtId="165" applyNumberFormat="1" fontId="4" applyFont="1" fillId="4" applyFill="1" borderId="21" applyBorder="1" xfId="4">
      <alignment horizontal="center" vertical="center"/>
    </xf>
    <xf numFmtId="9" applyNumberFormat="1" fontId="4" applyFont="1" fillId="0" applyFill="1" borderId="8" applyBorder="1" xfId="4">
      <alignment horizontal="center" vertical="center"/>
    </xf>
    <xf numFmtId="165" applyNumberFormat="1" fontId="4" applyFont="1" fillId="4" applyFill="1" borderId="10" applyBorder="1" xfId="0"/>
    <xf numFmtId="165" applyNumberFormat="1" fontId="4" applyFont="1" fillId="4" applyFill="1" borderId="11" applyBorder="1" xfId="0"/>
    <xf numFmtId="3" applyNumberFormat="1" fontId="0" applyFont="1" fillId="0" applyFill="1" borderId="0" applyBorder="1" xfId="0"/>
    <xf numFmtId="9" applyNumberFormat="1" fontId="0" applyFont="1" fillId="0" applyFill="1" borderId="0" applyBorder="1" xfId="0"/>
    <xf numFmtId="164" applyNumberFormat="1" fontId="0" applyFont="1" fillId="0" applyFill="1" borderId="0" applyBorder="1" xfId="0"/>
    <xf numFmtId="9" applyNumberFormat="1" fontId="0" applyFont="1" fillId="0" applyFill="1" borderId="0" applyBorder="1" xfId="4"/>
    <xf numFmtId="0" applyNumberFormat="1" fontId="0" applyFont="1" fillId="4" applyFill="1" borderId="0" applyBorder="1" xfId="0"/>
    <xf numFmtId="165" applyNumberFormat="1" fontId="0" applyFont="1" fillId="0" applyFill="1" borderId="0" applyBorder="1" xfId="0"/>
    <xf numFmtId="0" applyNumberFormat="1" fontId="0" applyFont="1" fillId="3" applyFill="1" borderId="4" applyBorder="1" xfId="0"/>
    <xf numFmtId="0" applyNumberFormat="1" fontId="0" applyFont="1" fillId="0" applyFill="1" borderId="0" applyBorder="1" xfId="0">
      <alignment horizontal="left" vertical="center" readingOrder="1" indent="1"/>
    </xf>
    <xf numFmtId="0" applyNumberFormat="1" fontId="8" applyFont="1" fillId="0" applyFill="1" borderId="0" applyBorder="1" xfId="0"/>
    <xf numFmtId="0" applyNumberFormat="1" fontId="7" applyFont="1" fillId="3" applyFill="1" borderId="0" applyBorder="1" xfId="0">
      <alignment horizontal="left" vertical="center" readingOrder="1" indent="1"/>
    </xf>
    <xf numFmtId="0" applyNumberFormat="1" fontId="9" applyFont="1" fillId="3" applyFill="1" borderId="0" applyBorder="1" xfId="0">
      <alignment horizontal="left" vertical="center" readingOrder="1" indent="1"/>
    </xf>
    <xf numFmtId="0" applyNumberFormat="1" fontId="10" applyFont="1" fillId="0" applyFill="1" borderId="22" applyBorder="1" xfId="0">
      <alignment horizontal="left" vertical="center" wrapText="1" readingOrder="1" indent="3"/>
    </xf>
    <xf numFmtId="0" applyNumberFormat="1" fontId="10" applyFont="1" fillId="0" applyFill="1" borderId="23" applyBorder="1" xfId="0">
      <alignment horizontal="left" vertical="center" wrapText="1" readingOrder="1" indent="3"/>
    </xf>
    <xf numFmtId="0" applyNumberFormat="1" fontId="10" applyFont="1" fillId="0" applyFill="1" borderId="24" applyBorder="1" xfId="0">
      <alignment horizontal="left" vertical="center" wrapText="1" readingOrder="1" indent="3"/>
    </xf>
    <xf numFmtId="0" applyNumberFormat="1" fontId="10" applyFont="1" fillId="0" applyFill="1" borderId="25" applyBorder="1" xfId="0">
      <alignment horizontal="left" vertical="center" wrapText="1" readingOrder="1" indent="3"/>
    </xf>
    <xf numFmtId="0" applyNumberFormat="1" fontId="10" applyFont="1" fillId="0" applyFill="1" borderId="26" applyBorder="1" xfId="0">
      <alignment horizontal="left" vertical="center" wrapText="1" readingOrder="1" indent="3"/>
    </xf>
    <xf numFmtId="0" applyNumberFormat="1" fontId="10" applyFont="1" fillId="0" applyFill="1" borderId="27" applyBorder="1" xfId="0">
      <alignment horizontal="left" vertical="center" wrapText="1" readingOrder="1" indent="3"/>
    </xf>
    <xf numFmtId="2" applyNumberFormat="1" fontId="0" applyFont="1" fillId="0" applyFill="1" borderId="0" applyBorder="1" xfId="0"/>
    <xf numFmtId="9" applyNumberFormat="1" fontId="0" applyFont="1" fillId="0" applyFill="1" borderId="0" applyBorder="1" xfId="4"/>
    <xf numFmtId="9" applyNumberFormat="1" fontId="0" applyFont="1" fillId="0" applyFill="1" borderId="0" applyBorder="1" xfId="0"/>
    <xf numFmtId="0" applyNumberFormat="1" fontId="0" applyFont="1" fillId="2" applyFill="1" borderId="1" applyBorder="1" xfId="0"/>
    <xf numFmtId="0" applyNumberFormat="1" fontId="0" applyFont="1" fillId="0" applyFill="1" borderId="2" applyBorder="1" xfId="0"/>
    <xf numFmtId="0" applyNumberFormat="1" fontId="0" applyFont="1" fillId="0" applyFill="1" borderId="4" applyBorder="1" xfId="0"/>
    <xf numFmtId="165" applyNumberFormat="1" fontId="0" applyFont="1" fillId="0" applyFill="1" borderId="5" applyBorder="1" xfId="0"/>
    <xf numFmtId="1" applyNumberFormat="1" fontId="4" applyFont="1" fillId="0" applyFill="1" borderId="0" applyBorder="1" xfId="0"/>
    <xf numFmtId="1" applyNumberFormat="1" fontId="4" applyFont="1" fillId="0" applyFill="1" borderId="5" applyBorder="1" xfId="0"/>
    <xf numFmtId="2" applyNumberFormat="1" fontId="4" applyFont="1" fillId="3" applyFill="1" borderId="16" applyBorder="1" xfId="0">
      <alignment horizontal="right"/>
    </xf>
    <xf numFmtId="2" applyNumberFormat="1" fontId="0" applyFont="1" fillId="0" applyFill="1" borderId="0" applyBorder="1" xfId="0"/>
    <xf numFmtId="0" applyNumberFormat="1" fontId="0" applyFont="1" fillId="0" applyFill="1" borderId="2" applyBorder="1" xfId="0"/>
    <xf numFmtId="9" applyNumberFormat="1" fontId="0" applyFont="1" fillId="0" applyFill="1" borderId="5" applyBorder="1" xfId="0"/>
    <xf numFmtId="165" applyNumberFormat="1" fontId="0" applyFont="1" fillId="0" applyFill="1" borderId="5" applyBorder="1" xfId="0"/>
    <xf numFmtId="2" applyNumberFormat="1" fontId="0" applyFont="1" fillId="0" applyFill="1" borderId="5" applyBorder="1" xfId="0"/>
    <xf numFmtId="9" applyNumberFormat="1" fontId="0" applyFont="1" fillId="0" applyFill="1" borderId="10" applyBorder="1" xfId="0"/>
    <xf numFmtId="9" applyNumberFormat="1" fontId="0" applyFont="1" fillId="0" applyFill="1" borderId="11" applyBorder="1" xfId="0"/>
    <xf numFmtId="0" applyNumberFormat="1" fontId="0" applyFont="1" fillId="0" applyFill="1" borderId="1" applyBorder="1" xfId="0"/>
    <xf numFmtId="0" applyNumberFormat="1" fontId="3" applyFont="1" fillId="0" applyFill="1" borderId="0" applyBorder="1" xfId="0"/>
    <xf numFmtId="0" applyNumberFormat="1" fontId="13" applyFont="1" fillId="0" applyFill="1" borderId="0" applyBorder="1" xfId="6">
      <alignment horizontal="right"/>
    </xf>
    <xf numFmtId="0" applyNumberFormat="1" fontId="15" applyFont="1" fillId="0" applyFill="1" borderId="31" applyBorder="1" xfId="0"/>
    <xf numFmtId="0" applyNumberFormat="1" fontId="15" applyFont="1" fillId="0" applyFill="1" borderId="0" applyBorder="1" xfId="0"/>
    <xf numFmtId="165" applyNumberFormat="1" fontId="15" applyFont="1" fillId="0" applyFill="1" borderId="31" applyBorder="1" xfId="0">
      <alignment horizontal="left" vertical="top"/>
    </xf>
    <xf numFmtId="165" applyNumberFormat="1" fontId="15" applyFont="1" fillId="0" applyFill="1" borderId="0" applyBorder="1" xfId="0">
      <alignment horizontal="left" vertical="top"/>
    </xf>
    <xf numFmtId="0" applyNumberFormat="1" fontId="14" applyFont="1" fillId="0" applyFill="1" borderId="0" applyBorder="1" xfId="0">
      <alignment horizontal="left"/>
    </xf>
    <xf numFmtId="0" applyNumberFormat="1" fontId="16" applyFont="1" fillId="0" applyFill="1" borderId="0" applyBorder="1" xfId="6">
      <alignment horizontal="right"/>
    </xf>
    <xf numFmtId="0" applyNumberFormat="1" fontId="0" applyFont="1" fillId="0" applyFill="1" borderId="7" applyBorder="1" xfId="0"/>
    <xf numFmtId="165" applyNumberFormat="1" fontId="0" applyFont="1" fillId="0" applyFill="1" borderId="7" applyBorder="1" xfId="0"/>
    <xf numFmtId="0" applyNumberFormat="1" fontId="2" applyFont="1" fillId="2" applyFill="1" borderId="2" applyBorder="1" xfId="0"/>
    <xf numFmtId="165" applyNumberFormat="1" fontId="0" applyFont="1" fillId="0" applyFill="1" borderId="8" applyBorder="1" xfId="0"/>
    <xf numFmtId="0" applyNumberFormat="1" fontId="0" applyFont="1" fillId="4" applyFill="1" borderId="4" applyBorder="1" xfId="0"/>
    <xf numFmtId="0" applyNumberFormat="1" fontId="0" applyFont="1" fillId="4" applyFill="1" borderId="0" applyBorder="1" xfId="0"/>
    <xf numFmtId="165" applyNumberFormat="1" fontId="0" applyFont="1" fillId="4" applyFill="1" borderId="0" applyBorder="1" xfId="0"/>
    <xf numFmtId="165" applyNumberFormat="1" fontId="0" applyFont="1" fillId="4" applyFill="1" borderId="5" applyBorder="1" xfId="0"/>
    <xf numFmtId="0" applyNumberFormat="1" fontId="3" applyFont="1" fillId="2" applyFill="1" borderId="1" applyBorder="1" xfId="0"/>
    <xf numFmtId="0" applyNumberFormat="1" fontId="3" applyFont="1" fillId="2" applyFill="1" borderId="4" applyBorder="1" xfId="0"/>
    <xf numFmtId="0" applyNumberFormat="1" fontId="3" applyFont="1" fillId="2" applyFill="1" borderId="4" applyBorder="1" xfId="0">
      <alignment horizontal="center" vertical="top"/>
    </xf>
    <xf numFmtId="0" applyNumberFormat="1" fontId="3" applyFont="1" fillId="2" applyFill="1" borderId="5" applyBorder="1" xfId="0">
      <alignment horizontal="center" vertical="top"/>
    </xf>
    <xf numFmtId="0" applyNumberFormat="1" fontId="3" applyFont="1" fillId="2" applyFill="1" borderId="0" applyBorder="1" xfId="0">
      <alignment horizontal="center" vertical="top"/>
    </xf>
    <xf numFmtId="0" applyNumberFormat="1" fontId="0" applyFont="1" fillId="0" applyFill="1" borderId="0" applyBorder="1" xfId="0"/>
    <xf numFmtId="2" applyNumberFormat="1" fontId="4" applyFont="1" fillId="0" applyFill="1" borderId="0" applyBorder="1" xfId="0"/>
    <xf numFmtId="9" applyNumberFormat="1" fontId="0" applyFont="1" fillId="0" applyFill="1" borderId="5" applyBorder="1" xfId="4"/>
    <xf numFmtId="0" applyNumberFormat="1" fontId="4" applyFont="1" fillId="8" applyFill="1" borderId="4" applyBorder="1" xfId="0">
      <alignment horizontal="left" vertical="center"/>
    </xf>
    <xf numFmtId="0" applyNumberFormat="1" fontId="0" applyFont="1" fillId="8" applyFill="1" borderId="0" applyBorder="1" xfId="0"/>
    <xf numFmtId="0" applyNumberFormat="1" fontId="0" applyFont="1" fillId="8" applyFill="1" borderId="4" applyBorder="1" xfId="0"/>
    <xf numFmtId="0" applyNumberFormat="1" fontId="0" applyFont="1" fillId="8" applyFill="1" borderId="5" applyBorder="1" xfId="0"/>
    <xf numFmtId="0" applyNumberFormat="1" fontId="0" applyFont="1" fillId="8" applyFill="1" borderId="9" applyBorder="1" xfId="0"/>
    <xf numFmtId="0" applyNumberFormat="1" fontId="0" applyFont="1" fillId="8" applyFill="1" borderId="10" applyBorder="1" xfId="0"/>
    <xf numFmtId="166" applyNumberFormat="1" fontId="0" applyFont="1" fillId="0" applyFill="1" borderId="0" applyBorder="1" xfId="0"/>
    <xf numFmtId="9" applyNumberFormat="1" fontId="0" applyFont="1" fillId="0" applyFill="1" borderId="0" applyBorder="1" xfId="4"/>
    <xf numFmtId="0" applyNumberFormat="1" fontId="3" applyFont="1" fillId="7" applyFill="1" borderId="4" applyBorder="1" xfId="0"/>
    <xf numFmtId="0" applyNumberFormat="1" fontId="14" applyFont="1" fillId="0" applyFill="1" borderId="0" applyBorder="1" xfId="0"/>
    <xf numFmtId="9" applyNumberFormat="1" fontId="0" applyFont="1" fillId="0" applyFill="1" borderId="0" applyBorder="1" xfId="4">
      <alignment vertical="center"/>
    </xf>
    <xf numFmtId="2" applyNumberFormat="1" fontId="0" applyFont="1" fillId="0" applyFill="1" borderId="0" applyBorder="1" xfId="4">
      <alignment vertical="center"/>
    </xf>
    <xf numFmtId="0" applyNumberFormat="1" fontId="2" applyFont="1" fillId="2" applyFill="1" borderId="1" applyBorder="1" xfId="0"/>
    <xf numFmtId="166" applyNumberFormat="1" fontId="2" applyFont="1" fillId="2" applyFill="1" borderId="3" applyBorder="1" xfId="0">
      <alignment horizontal="center" vertical="center"/>
    </xf>
    <xf numFmtId="166" applyNumberFormat="1" fontId="3" applyFont="1" fillId="2" applyFill="1" borderId="3" applyBorder="1" xfId="0">
      <alignment horizontal="center" vertical="center"/>
    </xf>
    <xf numFmtId="166" applyNumberFormat="1" fontId="0" applyFont="1" fillId="0" applyFill="1" borderId="4" applyBorder="1" xfId="0"/>
    <xf numFmtId="166" applyNumberFormat="1" fontId="0" applyFont="1" fillId="0" applyFill="1" borderId="9" applyBorder="1" xfId="0"/>
    <xf numFmtId="166" applyNumberFormat="1" fontId="3" applyFont="1" fillId="2" applyFill="1" borderId="1" applyBorder="1" xfId="0"/>
    <xf numFmtId="166" applyNumberFormat="1" fontId="3" applyFont="1" fillId="2" applyFill="1" borderId="2" applyBorder="1" xfId="0"/>
    <xf numFmtId="166" applyNumberFormat="1" fontId="3" applyFont="1" fillId="2" applyFill="1" borderId="3" applyBorder="1" xfId="0"/>
    <xf numFmtId="166" applyNumberFormat="1" fontId="0" applyFont="1" fillId="0" applyFill="1" borderId="0" applyBorder="1" xfId="0"/>
    <xf numFmtId="166" applyNumberFormat="1" fontId="0" applyFont="1" fillId="0" applyFill="1" borderId="10" applyBorder="1" xfId="0"/>
    <xf numFmtId="166" applyNumberFormat="1" fontId="0" applyFont="1" fillId="0" applyFill="1" borderId="11" applyBorder="1" xfId="0"/>
    <xf numFmtId="165" applyNumberFormat="1" fontId="0" applyFont="1" fillId="9" applyFill="1" borderId="0" applyBorder="1" xfId="0"/>
    <xf numFmtId="165" applyNumberFormat="1" fontId="0" applyFont="1" fillId="9" applyFill="1" borderId="5" applyBorder="1" xfId="0"/>
    <xf numFmtId="0" applyNumberFormat="1" fontId="2" applyFont="1" fillId="2" applyFill="1" borderId="2" applyBorder="1" xfId="0">
      <alignment horizontal="center" vertical="center"/>
    </xf>
    <xf numFmtId="0" applyNumberFormat="1" fontId="2" applyFont="1" fillId="2" applyFill="1" borderId="3" applyBorder="1" xfId="0">
      <alignment horizontal="center" vertical="center"/>
    </xf>
    <xf numFmtId="0" applyNumberFormat="1" fontId="3" applyFont="1" fillId="10" applyFill="1" borderId="2" applyBorder="1" xfId="0"/>
    <xf numFmtId="166" applyNumberFormat="1" fontId="3" applyFont="1" fillId="10" applyFill="1" borderId="3" applyBorder="1" xfId="0"/>
    <xf numFmtId="0" applyNumberFormat="1" fontId="5" applyFont="1" fillId="10" applyFill="1" borderId="1" applyBorder="1" xfId="0"/>
    <xf numFmtId="165" applyNumberFormat="1" fontId="0" applyFont="1" fillId="0" applyFill="1" borderId="0" applyBorder="1" xfId="4"/>
    <xf numFmtId="0" applyNumberFormat="1" fontId="2" applyFont="1" fillId="2" applyFill="1" borderId="2" applyBorder="1" xfId="0">
      <alignment horizontal="left" vertical="center"/>
    </xf>
    <xf numFmtId="0" applyNumberFormat="1" fontId="4" applyFont="1" fillId="4" applyFill="1" borderId="20" applyBorder="1" xfId="0">
      <alignment horizontal="left" vertical="center"/>
    </xf>
    <xf numFmtId="0" applyNumberFormat="1" fontId="4" applyFont="1" fillId="0" applyFill="1" borderId="7" applyBorder="1" xfId="0">
      <alignment horizontal="left" vertical="center"/>
    </xf>
    <xf numFmtId="0" applyNumberFormat="1" fontId="4" applyFont="1" fillId="4" applyFill="1" borderId="10" applyBorder="1" xfId="0">
      <alignment horizontal="left" vertical="center"/>
    </xf>
    <xf numFmtId="0" applyNumberFormat="1" fontId="0" applyFont="1" fillId="3" applyFill="1" borderId="33" applyBorder="1" xfId="0"/>
    <xf numFmtId="0" applyNumberFormat="1" fontId="0" applyFont="1" fillId="3" applyFill="1" borderId="34" applyBorder="1" xfId="0"/>
    <xf numFmtId="0" applyNumberFormat="1" fontId="0" applyFont="1" fillId="3" applyFill="1" borderId="12" applyBorder="1" xfId="0"/>
    <xf numFmtId="0" applyNumberFormat="1" fontId="3" applyFont="1" fillId="2" applyFill="1" borderId="2" applyBorder="1" xfId="0"/>
    <xf numFmtId="0" applyNumberFormat="1" fontId="5" applyFont="1" fillId="10" applyFill="1" borderId="2" applyBorder="1" xfId="0"/>
    <xf numFmtId="0" applyNumberFormat="1" fontId="0" applyFont="1" fillId="9" applyFill="1" borderId="0" applyBorder="1" xfId="0"/>
    <xf numFmtId="165" applyNumberFormat="1" fontId="0" applyFont="1" fillId="9" applyFill="1" borderId="0" applyBorder="1" xfId="4"/>
    <xf numFmtId="2" applyNumberFormat="1" fontId="4" applyFont="1" fillId="0" applyFill="1" borderId="0" applyBorder="1" xfId="0"/>
    <xf numFmtId="168" applyNumberFormat="1" fontId="4" applyFont="1" fillId="0" applyFill="1" borderId="0" applyBorder="1" xfId="0"/>
    <xf numFmtId="1" applyNumberFormat="1" fontId="0" applyFont="1" fillId="0" applyFill="1" borderId="10" applyBorder="1" xfId="0"/>
    <xf numFmtId="9" applyNumberFormat="1" fontId="4" applyFont="1" fillId="0" applyFill="1" borderId="5" applyBorder="1" xfId="4"/>
    <xf numFmtId="164" applyNumberFormat="1" fontId="0" applyFont="1" fillId="0" applyFill="1" borderId="2" applyBorder="1" xfId="0"/>
    <xf numFmtId="0" applyNumberFormat="1" fontId="0" applyFont="1" fillId="9" applyFill="1" borderId="10" applyBorder="1" xfId="0"/>
    <xf numFmtId="165" applyNumberFormat="1" fontId="0" applyFont="1" fillId="5" applyFill="1" borderId="35" applyBorder="1" xfId="0"/>
    <xf numFmtId="165" applyNumberFormat="1" fontId="0" applyFont="1" fillId="5" applyFill="1" borderId="36" applyBorder="1" xfId="0"/>
    <xf numFmtId="9" applyNumberFormat="1" fontId="0" applyFont="1" fillId="5" applyFill="1" borderId="36" applyBorder="1" xfId="4"/>
    <xf numFmtId="0" applyNumberFormat="1" fontId="0" applyFont="1" fillId="5" applyFill="1" borderId="36" applyBorder="1" xfId="0"/>
    <xf numFmtId="164" applyNumberFormat="1" fontId="0" applyFont="1" fillId="5" applyFill="1" borderId="37" applyBorder="1" xfId="0"/>
    <xf numFmtId="165" applyNumberFormat="1" fontId="0" applyFont="1" fillId="6" applyFill="1" borderId="28" applyBorder="1" xfId="0"/>
    <xf numFmtId="165" applyNumberFormat="1" fontId="0" applyFont="1" fillId="6" applyFill="1" borderId="29" applyBorder="1" xfId="0"/>
    <xf numFmtId="165" applyNumberFormat="1" fontId="0" applyFont="1" fillId="5" applyFill="1" borderId="0" applyBorder="1" xfId="0"/>
    <xf numFmtId="9" applyNumberFormat="1" fontId="4" applyFont="1" fillId="0" applyFill="1" borderId="0" applyBorder="1" xfId="4"/>
    <xf numFmtId="165" applyNumberFormat="1" fontId="4" applyFont="1" fillId="0" applyFill="1" borderId="36" applyBorder="1" xfId="0"/>
    <xf numFmtId="165" applyNumberFormat="1" fontId="4" applyFont="1" fillId="0" applyFill="1" borderId="37" applyBorder="1" xfId="0"/>
    <xf numFmtId="2" applyNumberFormat="1" fontId="4" applyFont="1" fillId="12" applyFill="1" borderId="32" applyBorder="1" xfId="0"/>
    <xf numFmtId="9" applyNumberFormat="1" fontId="4" applyFont="1" fillId="12" applyFill="1" borderId="35" applyBorder="1" xfId="4"/>
    <xf numFmtId="167" applyNumberFormat="1" fontId="4" applyFont="1" fillId="12" applyFill="1" borderId="32" applyBorder="1" xfId="0"/>
    <xf numFmtId="9" applyNumberFormat="1" fontId="4" applyFont="1" fillId="12" applyFill="1" borderId="35" applyBorder="1" xfId="4"/>
    <xf numFmtId="0" applyNumberFormat="1" fontId="0" applyFont="1" fillId="12" applyFill="1" borderId="28" applyBorder="1" xfId="0"/>
    <xf numFmtId="165" applyNumberFormat="1" fontId="0" applyFont="1" fillId="12" applyFill="1" borderId="29" applyBorder="1" xfId="0"/>
    <xf numFmtId="0" applyNumberFormat="1" fontId="3" applyFont="1" fillId="11" applyFill="1" borderId="4" applyBorder="1" xfId="0">
      <alignment horizontal="center" vertical="center"/>
    </xf>
    <xf numFmtId="0" applyNumberFormat="1" fontId="3" applyFont="1" fillId="11" applyFill="1" borderId="0" applyBorder="1" xfId="0">
      <alignment horizontal="center" vertical="center"/>
    </xf>
    <xf numFmtId="165" applyNumberFormat="1" fontId="0" applyFont="1" fillId="0" applyFill="1" borderId="4" applyBorder="1" xfId="0"/>
    <xf numFmtId="165" applyNumberFormat="1" fontId="0" applyFont="1" fillId="8" applyFill="1" borderId="4" applyBorder="1" xfId="0"/>
    <xf numFmtId="165" applyNumberFormat="1" fontId="0" applyFont="1" fillId="13" applyFill="1" borderId="4" applyBorder="1" xfId="0"/>
    <xf numFmtId="165" applyNumberFormat="1" fontId="0" applyFont="1" fillId="13" applyFill="1" borderId="0" applyBorder="1" xfId="0"/>
    <xf numFmtId="0" applyNumberFormat="1" fontId="0" applyFont="1" fillId="13" applyFill="1" borderId="0" applyBorder="1" xfId="0"/>
    <xf numFmtId="165" applyNumberFormat="1" fontId="0" applyFont="1" fillId="13" applyFill="1" borderId="9" applyBorder="1" xfId="0"/>
    <xf numFmtId="165" applyNumberFormat="1" fontId="0" applyFont="1" fillId="13" applyFill="1" borderId="10" applyBorder="1" xfId="0"/>
    <xf numFmtId="0" applyNumberFormat="1" fontId="3" applyFont="1" fillId="2" applyFill="1" borderId="35" applyBorder="1" xfId="0"/>
    <xf numFmtId="0" applyNumberFormat="1" fontId="3" applyFont="1" fillId="2" applyFill="1" borderId="36" applyBorder="1" xfId="0"/>
    <xf numFmtId="0" applyNumberFormat="1" fontId="3" applyFont="1" fillId="2" applyFill="1" borderId="3" applyBorder="1" xfId="0"/>
    <xf numFmtId="0" applyNumberFormat="1" fontId="3" applyFont="1" fillId="2" applyFill="1" borderId="5" applyBorder="1" xfId="0"/>
    <xf numFmtId="0" applyNumberFormat="1" fontId="0" applyFont="1" fillId="0" applyFill="1" borderId="36" applyBorder="1" xfId="0"/>
    <xf numFmtId="0" applyNumberFormat="1" fontId="0" applyFont="1" fillId="8" applyFill="1" borderId="36" applyBorder="1" xfId="0"/>
    <xf numFmtId="165" applyNumberFormat="1" fontId="0" applyFont="1" fillId="0" applyFill="1" borderId="36" applyBorder="1" xfId="0"/>
    <xf numFmtId="165" applyNumberFormat="1" fontId="0" applyFont="1" fillId="9" applyFill="1" borderId="36" applyBorder="1" xfId="0"/>
    <xf numFmtId="165" applyNumberFormat="1" fontId="0" applyFont="1" fillId="9" applyFill="1" borderId="37" applyBorder="1" xfId="0"/>
    <xf numFmtId="165" applyNumberFormat="1" fontId="0" applyFont="1" fillId="9" applyFill="1" borderId="11" applyBorder="1" xfId="0"/>
    <xf numFmtId="0" applyNumberFormat="1" fontId="0" applyFont="1" fillId="14" applyFill="1" borderId="0" applyBorder="1" xfId="0"/>
    <xf numFmtId="164" applyNumberFormat="1" fontId="0" applyFont="1" fillId="14" applyFill="1" borderId="0" applyBorder="1" xfId="0"/>
    <xf numFmtId="164" applyNumberFormat="1" fontId="0" applyFont="1" fillId="0" applyFill="1" borderId="0" applyBorder="1" xfId="0"/>
    <xf numFmtId="0" applyNumberFormat="1" fontId="0" applyFont="1" fillId="9" applyFill="1" borderId="0" applyBorder="1" xfId="0">
      <alignment horizontal="center" vertical="center"/>
    </xf>
    <xf numFmtId="0" applyNumberFormat="1" fontId="0" applyFont="1" fillId="9" applyFill="1" borderId="5" applyBorder="1" xfId="0">
      <alignment horizontal="center" vertical="center"/>
    </xf>
    <xf numFmtId="2" applyNumberFormat="1" fontId="0" applyFont="1" fillId="0" applyFill="1" borderId="5" applyBorder="1" xfId="4"/>
    <xf numFmtId="2" applyNumberFormat="1" fontId="0" applyFont="1" fillId="0" applyFill="1" borderId="10" applyBorder="1" xfId="0"/>
    <xf numFmtId="2" applyNumberFormat="1" fontId="0" applyFont="1" fillId="0" applyFill="1" borderId="11" applyBorder="1" xfId="4"/>
    <xf numFmtId="2" applyNumberFormat="1" fontId="0" applyFont="1" fillId="0" applyFill="1" borderId="0" applyBorder="1" xfId="4"/>
    <xf numFmtId="2" applyNumberFormat="1" fontId="0" applyFont="1" fillId="0" applyFill="1" borderId="10" applyBorder="1" xfId="4"/>
    <xf numFmtId="166" applyNumberFormat="1" fontId="0" applyFont="1" fillId="0" applyFill="1" borderId="0" applyBorder="1" xfId="0"/>
    <xf numFmtId="0" applyNumberFormat="1" fontId="0" applyFont="1" fillId="5" applyFill="1" borderId="9" applyBorder="1" xfId="0"/>
    <xf numFmtId="0" applyNumberFormat="1" fontId="0" applyFont="1" fillId="5" applyFill="1" borderId="10" applyBorder="1" xfId="0"/>
    <xf numFmtId="0" applyNumberFormat="1" fontId="2" applyFont="1" fillId="2" applyFill="1" borderId="2" applyBorder="1" xfId="0">
      <alignment horizontal="center" vertical="center"/>
    </xf>
    <xf numFmtId="0" applyNumberFormat="1" fontId="2" applyFont="1" fillId="2" applyFill="1" borderId="3" applyBorder="1" xfId="0">
      <alignment horizontal="center" vertical="center"/>
    </xf>
    <xf numFmtId="164" applyNumberFormat="1" fontId="0" applyFont="1" fillId="0" applyFill="1" borderId="0" applyBorder="1" xfId="0"/>
    <xf numFmtId="0" applyNumberFormat="1" fontId="0" applyFont="1" fillId="9" applyFill="1" borderId="4" applyBorder="1" xfId="0"/>
    <xf numFmtId="0" applyNumberFormat="1" fontId="0" applyFont="1" fillId="9" applyFill="1" borderId="5" applyBorder="1" xfId="0"/>
    <xf numFmtId="165" applyNumberFormat="1" fontId="0" applyFont="1" fillId="3" applyFill="1" borderId="0" applyBorder="1" xfId="0"/>
    <xf numFmtId="165" applyNumberFormat="1" fontId="0" applyFont="1" fillId="3" applyFill="1" borderId="5" applyBorder="1" xfId="0"/>
    <xf numFmtId="165" applyNumberFormat="1" fontId="0" applyFont="1" fillId="5" applyFill="1" borderId="5" applyBorder="1" xfId="0"/>
    <xf numFmtId="167" applyNumberFormat="1" fontId="0" applyFont="1" fillId="0" applyFill="1" borderId="5" applyBorder="1" xfId="0"/>
    <xf numFmtId="0" applyNumberFormat="1" fontId="3" applyFont="1" fillId="0" applyFill="1" borderId="0" applyBorder="1" xfId="0"/>
    <xf numFmtId="166" applyNumberFormat="1" fontId="2" applyFont="1" fillId="2" applyFill="1" borderId="2" applyBorder="1" xfId="0"/>
    <xf numFmtId="166" applyNumberFormat="1" fontId="2" applyFont="1" fillId="2" applyFill="1" borderId="3" applyBorder="1" xfId="0"/>
    <xf numFmtId="164" applyNumberFormat="1" fontId="0" applyFont="1" fillId="0" applyFill="1" borderId="5" applyBorder="1" xfId="0"/>
    <xf numFmtId="164" applyNumberFormat="1" fontId="0" applyFont="1" fillId="9" applyFill="1" borderId="0" applyBorder="1" xfId="0"/>
    <xf numFmtId="164" applyNumberFormat="1" fontId="0" applyFont="1" fillId="9" applyFill="1" borderId="5" applyBorder="1" xfId="0"/>
    <xf numFmtId="164" applyNumberFormat="1" fontId="0" applyFont="1" fillId="9" applyFill="1" borderId="10" applyBorder="1" xfId="0"/>
    <xf numFmtId="164" applyNumberFormat="1" fontId="0" applyFont="1" fillId="9" applyFill="1" borderId="11" applyBorder="1" xfId="0"/>
    <xf numFmtId="0" applyNumberFormat="1" fontId="0" applyFont="1" fillId="0" applyFill="1" borderId="6" applyBorder="1" xfId="0"/>
    <xf numFmtId="164" applyNumberFormat="1" fontId="0" applyFont="1" fillId="0" applyFill="1" borderId="7" applyBorder="1" xfId="0"/>
    <xf numFmtId="164" applyNumberFormat="1" fontId="0" applyFont="1" fillId="0" applyFill="1" borderId="8" applyBorder="1" xfId="0"/>
    <xf numFmtId="0" applyNumberFormat="1" fontId="0" applyFont="1" fillId="8" applyFill="1" borderId="39" applyBorder="1" xfId="0"/>
    <xf numFmtId="0" applyNumberFormat="1" fontId="0" applyFont="1" fillId="8" applyFill="1" borderId="40" applyBorder="1" xfId="0"/>
    <xf numFmtId="165" applyNumberFormat="1" fontId="0" applyFont="1" fillId="0" applyFill="1" borderId="39" applyBorder="1" xfId="0"/>
    <xf numFmtId="165" applyNumberFormat="1" fontId="0" applyFont="1" fillId="0" applyFill="1" borderId="40" applyBorder="1" xfId="0"/>
    <xf numFmtId="165" applyNumberFormat="1" fontId="0" applyFont="1" fillId="0" applyFill="1" borderId="41" applyBorder="1" xfId="0"/>
    <xf numFmtId="165" applyNumberFormat="1" fontId="0" applyFont="1" fillId="0" applyFill="1" borderId="42" applyBorder="1" xfId="0"/>
    <xf numFmtId="165" applyNumberFormat="1" fontId="0" applyFont="1" fillId="9" applyFill="1" borderId="39" applyBorder="1" xfId="0"/>
    <xf numFmtId="165" applyNumberFormat="1" fontId="0" applyFont="1" fillId="9" applyFill="1" borderId="40" applyBorder="1" xfId="0"/>
    <xf numFmtId="0" applyNumberFormat="1" fontId="2" applyFont="1" fillId="2" applyFill="1" borderId="43" applyBorder="1" xfId="0">
      <alignment horizontal="center" vertical="center"/>
    </xf>
    <xf numFmtId="0" applyNumberFormat="1" fontId="2" applyFont="1" fillId="2" applyFill="1" borderId="44" applyBorder="1" xfId="0">
      <alignment horizontal="center" vertical="center"/>
    </xf>
    <xf numFmtId="165" applyNumberFormat="1" fontId="0" applyFont="1" fillId="9" applyFill="1" borderId="45" applyBorder="1" xfId="0"/>
    <xf numFmtId="165" applyNumberFormat="1" fontId="0" applyFont="1" fillId="9" applyFill="1" borderId="46" applyBorder="1" xfId="0"/>
    <xf numFmtId="2" applyNumberFormat="1" fontId="0" applyFont="1" fillId="0" applyFill="1" borderId="2" applyBorder="1" xfId="4"/>
    <xf numFmtId="2" applyNumberFormat="1" fontId="0" applyFont="1" fillId="0" applyFill="1" borderId="3" applyBorder="1" xfId="4"/>
    <xf numFmtId="2" applyNumberFormat="1" fontId="0" applyFont="1" fillId="0" applyFill="1" borderId="0" applyBorder="1" xfId="4"/>
    <xf numFmtId="2" applyNumberFormat="1" fontId="0" applyFont="1" fillId="0" applyFill="1" borderId="5" applyBorder="1" xfId="4"/>
    <xf numFmtId="0" applyNumberFormat="1" fontId="0" applyFont="1" fillId="0" applyFill="1" borderId="7" applyBorder="1" xfId="0"/>
    <xf numFmtId="2" applyNumberFormat="1" fontId="0" applyFont="1" fillId="0" applyFill="1" borderId="7" applyBorder="1" xfId="4"/>
    <xf numFmtId="2" applyNumberFormat="1" fontId="0" applyFont="1" fillId="0" applyFill="1" borderId="8" applyBorder="1" xfId="4"/>
    <xf numFmtId="0" applyNumberFormat="1" fontId="2" applyFont="1" fillId="2" applyFill="1" borderId="35" applyBorder="1" xfId="0">
      <alignment horizontal="center" vertical="center"/>
    </xf>
    <xf numFmtId="0" applyNumberFormat="1" fontId="0" applyFont="1" fillId="9" applyFill="1" borderId="36" applyBorder="1" xfId="0"/>
    <xf numFmtId="9" applyNumberFormat="1" fontId="0" applyFont="1" fillId="3" applyFill="1" borderId="36" applyBorder="1" xfId="4"/>
    <xf numFmtId="0" applyNumberFormat="1" fontId="0" applyFont="1" fillId="9" applyFill="1" borderId="37" applyBorder="1" xfId="0"/>
    <xf numFmtId="9" applyNumberFormat="1" fontId="0" applyFont="1" fillId="3" applyFill="1" borderId="38" applyBorder="1" xfId="4"/>
    <xf numFmtId="0" applyNumberFormat="1" fontId="0" applyFont="1" fillId="15" applyFill="1" borderId="1" applyBorder="1" xfId="0"/>
    <xf numFmtId="0" applyNumberFormat="1" fontId="0" applyFont="1" fillId="15" applyFill="1" borderId="2" applyBorder="1" xfId="0"/>
    <xf numFmtId="0" applyNumberFormat="1" fontId="0" applyFont="1" fillId="15" applyFill="1" borderId="3" applyBorder="1" xfId="0"/>
    <xf numFmtId="2" applyNumberFormat="1" fontId="0" applyFont="1" fillId="5" applyFill="1" borderId="11" applyBorder="1" xfId="0"/>
    <xf numFmtId="0" applyNumberFormat="1" fontId="0" applyFont="1" fillId="0" applyFill="1" borderId="0" applyBorder="1" xfId="0">
      <alignment wrapText="1"/>
    </xf>
    <xf numFmtId="0" applyNumberFormat="1" fontId="3" applyFont="1" fillId="4" applyFill="1" borderId="4" applyBorder="1" xfId="0">
      <alignment horizontal="center" vertical="top"/>
    </xf>
    <xf numFmtId="0" applyNumberFormat="1" fontId="3" applyFont="1" fillId="4" applyFill="1" borderId="5" applyBorder="1" xfId="0">
      <alignment horizontal="center" vertical="top"/>
    </xf>
    <xf numFmtId="0" applyNumberFormat="1" fontId="3" applyFont="1" fillId="4" applyFill="1" borderId="0" applyBorder="1" xfId="0">
      <alignment horizontal="center" vertical="top"/>
    </xf>
    <xf numFmtId="0" applyNumberFormat="1" fontId="0" applyFont="1" fillId="4" applyFill="1" borderId="5" applyBorder="1" xfId="0"/>
    <xf numFmtId="165" applyNumberFormat="1" fontId="0" applyFont="1" fillId="4" applyFill="1" borderId="4" applyBorder="1" xfId="0"/>
    <xf numFmtId="165" applyNumberFormat="1" fontId="0" applyFont="1" fillId="4" applyFill="1" borderId="4" applyBorder="1" xfId="4"/>
    <xf numFmtId="165" applyNumberFormat="1" fontId="0" applyFont="1" fillId="4" applyFill="1" borderId="0" applyBorder="1" xfId="4"/>
    <xf numFmtId="165" applyNumberFormat="1" fontId="0" applyFont="1" fillId="4" applyFill="1" borderId="5" applyBorder="1" xfId="4"/>
    <xf numFmtId="165" applyNumberFormat="1" fontId="0" applyFont="1" fillId="4" applyFill="1" borderId="9" applyBorder="1" xfId="0"/>
    <xf numFmtId="165" applyNumberFormat="1" fontId="0" applyFont="1" fillId="4" applyFill="1" borderId="10" applyBorder="1" xfId="0"/>
    <xf numFmtId="165" applyNumberFormat="1" fontId="0" applyFont="1" fillId="4" applyFill="1" borderId="11" applyBorder="1" xfId="0"/>
    <xf numFmtId="0" applyNumberFormat="1" fontId="0" applyFont="1" fillId="4" applyFill="1" borderId="9" applyBorder="1" xfId="0"/>
    <xf numFmtId="0" applyNumberFormat="1" fontId="0" applyFont="1" fillId="4" applyFill="1" borderId="10" applyBorder="1" xfId="0"/>
    <xf numFmtId="0" applyNumberFormat="1" fontId="0" applyFont="1" fillId="4" applyFill="1" borderId="11" applyBorder="1" xfId="0"/>
    <xf numFmtId="164" applyNumberFormat="1" fontId="0" applyFont="1" fillId="0" applyFill="1" borderId="5" applyBorder="1" xfId="4"/>
    <xf numFmtId="164" applyNumberFormat="1" fontId="0" applyFont="1" fillId="9" applyFill="1" borderId="5" applyBorder="1" xfId="4"/>
    <xf numFmtId="165" applyNumberFormat="1" fontId="0" applyFont="1" fillId="5" applyFill="1" borderId="10" applyBorder="1" xfId="0"/>
    <xf numFmtId="165" applyNumberFormat="1" fontId="0" applyFont="1" fillId="5" applyFill="1" borderId="11" applyBorder="1" xfId="0"/>
    <xf numFmtId="164" applyNumberFormat="1" fontId="0" applyFont="1" fillId="4" applyFill="1" borderId="10" applyBorder="1" xfId="0"/>
    <xf numFmtId="0" applyNumberFormat="1" fontId="3" applyFont="1" fillId="4" applyFill="1" borderId="0" applyBorder="1" xfId="0"/>
    <xf numFmtId="9" applyNumberFormat="1" fontId="0" applyFont="1" fillId="4" applyFill="1" borderId="0" applyBorder="1" xfId="4"/>
    <xf numFmtId="9" applyNumberFormat="1" fontId="0" applyFont="1" fillId="4" applyFill="1" borderId="0" applyBorder="1" xfId="0"/>
    <xf numFmtId="9" applyNumberFormat="1" fontId="0" applyFont="1" fillId="4" applyFill="1" borderId="5" applyBorder="1" xfId="0"/>
    <xf numFmtId="9" applyNumberFormat="1" fontId="0" applyFont="1" fillId="4" applyFill="1" borderId="4" applyBorder="1" xfId="0"/>
    <xf numFmtId="2" applyNumberFormat="1" fontId="0" applyFont="1" fillId="4" applyFill="1" borderId="0" applyBorder="1" xfId="0"/>
    <xf numFmtId="2" applyNumberFormat="1" fontId="0" applyFont="1" fillId="4" applyFill="1" borderId="5" applyBorder="1" xfId="0"/>
    <xf numFmtId="2" applyNumberFormat="1" fontId="0" applyFont="1" fillId="4" applyFill="1" borderId="4" applyBorder="1" xfId="0"/>
    <xf numFmtId="164" applyNumberFormat="1" fontId="0" applyFont="1" fillId="0" applyFill="1" borderId="0" applyBorder="1" xfId="4"/>
    <xf numFmtId="0" applyNumberFormat="1" fontId="0" applyFont="1" fillId="9" applyFill="1" borderId="9" applyBorder="1" xfId="0"/>
    <xf numFmtId="0" applyNumberFormat="1" fontId="0" applyFont="1" fillId="9" applyFill="1" borderId="11" applyBorder="1" xfId="0"/>
    <xf numFmtId="0" applyNumberFormat="1" fontId="12" applyFont="1" fillId="0" applyFill="1" borderId="30" applyBorder="1" xfId="2">
      <alignment horizontal="left"/>
    </xf>
    <xf numFmtId="166" applyNumberFormat="1" fontId="0" applyFont="1" fillId="0" applyFill="1" borderId="0" applyBorder="1" xfId="0">
      <alignment horizontal="left" vertical="center"/>
    </xf>
    <xf numFmtId="166" applyNumberFormat="1" fontId="0" applyFont="1" fillId="0" applyFill="1" borderId="5" applyBorder="1" xfId="0">
      <alignment horizontal="left" vertical="center"/>
    </xf>
    <xf numFmtId="165" applyNumberFormat="1" fontId="0" applyFont="1" fillId="0" applyFill="1" borderId="0" applyBorder="1" xfId="0">
      <alignment horizontal="left" vertical="center" wrapText="1"/>
    </xf>
    <xf numFmtId="165" applyNumberFormat="1" fontId="0" applyFont="1" fillId="0" applyFill="1" borderId="5" applyBorder="1" xfId="0">
      <alignment horizontal="left" vertical="center" wrapText="1"/>
    </xf>
    <xf numFmtId="6" applyNumberFormat="1" fontId="3" applyFont="1" fillId="2" applyFill="1" borderId="1" applyBorder="1" xfId="0">
      <alignment horizontal="center" vertical="top"/>
    </xf>
    <xf numFmtId="6" applyNumberFormat="1" fontId="3" applyFont="1" fillId="2" applyFill="1" borderId="3" applyBorder="1" xfId="0">
      <alignment horizontal="center" vertical="top"/>
    </xf>
    <xf numFmtId="6" applyNumberFormat="1" fontId="3" applyFont="1" fillId="2" applyFill="1" borderId="2" applyBorder="1" xfId="0">
      <alignment horizontal="center" vertical="top" wrapText="1"/>
    </xf>
    <xf numFmtId="6" applyNumberFormat="1" fontId="3" applyFont="1" fillId="2" applyFill="1" borderId="3" applyBorder="1" xfId="0">
      <alignment horizontal="center" vertical="top" wrapText="1"/>
    </xf>
    <xf numFmtId="0" applyNumberFormat="1" fontId="2" applyFont="1" fillId="11" applyFill="1" borderId="1" applyBorder="1" xfId="0">
      <alignment horizontal="center"/>
    </xf>
    <xf numFmtId="0" applyNumberFormat="1" fontId="2" applyFont="1" fillId="11" applyFill="1" borderId="3" applyBorder="1" xfId="0">
      <alignment horizontal="center"/>
    </xf>
    <xf numFmtId="0" applyNumberFormat="1" fontId="3" applyFont="1" fillId="2" applyFill="1" borderId="1" applyBorder="1" xfId="0">
      <alignment horizontal="center" wrapText="1"/>
    </xf>
    <xf numFmtId="0" applyNumberFormat="1" fontId="3" applyFont="1" fillId="2" applyFill="1" borderId="3" applyBorder="1" xfId="0">
      <alignment horizontal="center" wrapText="1"/>
    </xf>
    <xf numFmtId="6" applyNumberFormat="1" fontId="3" applyFont="1" fillId="2" applyFill="1" borderId="1" applyBorder="1" xfId="0">
      <alignment horizontal="center" vertical="center"/>
    </xf>
    <xf numFmtId="6" applyNumberFormat="1" fontId="3" applyFont="1" fillId="2" applyFill="1" borderId="3" applyBorder="1" xfId="0">
      <alignment horizontal="center" vertical="center"/>
    </xf>
    <xf numFmtId="0" applyNumberFormat="1" fontId="2" applyFont="1" fillId="11" applyFill="1" borderId="2" applyBorder="1" xfId="0">
      <alignment horizontal="center"/>
    </xf>
    <xf numFmtId="0" applyNumberFormat="1" fontId="3" applyFont="1" fillId="2" applyFill="1" borderId="2" applyBorder="1" xfId="0">
      <alignment horizontal="center" wrapText="1"/>
    </xf>
    <xf numFmtId="6" applyNumberFormat="1" fontId="3" applyFont="1" fillId="2" applyFill="1" borderId="2" applyBorder="1" xfId="0">
      <alignment horizontal="center" vertical="top"/>
    </xf>
  </cellXfs>
  <cellStyles count="7">
    <cellStyle name="Currency 2" xfId="1"/>
    <cellStyle name="Heading 1" xfId="2" builtinId="16"/>
    <cellStyle name="Normal" xfId="0" builtinId="0"/>
    <cellStyle name="Normal 2" xfId="3"/>
    <cellStyle name="Percent" xfId="4" builtinId="5"/>
    <cellStyle name="Percent 2" xfId="5"/>
    <cellStyle name="Title" xfId="6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6" Type="http://schemas.openxmlformats.org/officeDocument/2006/relationships/sharedStrings" Target="sharedStrings.xml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Comparision</a:t>
            </a:r>
            <a:r>
              <a:rPr lang="en-US" baseline="0"/>
              <a:t> between Z14 and X86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Calculator!$I$191:$I$207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F2-468A-9C73-6ACB99752EB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Calculator!$L$191:$L$207</c:f>
              <c:numCache>
                <c:formatCode>"$"#,##0</c:formatCode>
                <c:ptCount val="17"/>
                <c:pt idx="1">
                  <c:v>1950000</c:v>
                </c:pt>
                <c:pt idx="2">
                  <c:v>914312.12578434916</c:v>
                </c:pt>
                <c:pt idx="3">
                  <c:v>267028.06000000006</c:v>
                </c:pt>
                <c:pt idx="5" formatCode="&quot;$&quot;#,##0.00">
                  <c:v>536799.75189325633</c:v>
                </c:pt>
                <c:pt idx="6" formatCode="&quot;$&quot;#,##0.00">
                  <c:v>2229796.2495492245</c:v>
                </c:pt>
                <c:pt idx="7" formatCode="&quot;$&quot;#,##0.00">
                  <c:v>2863174.9008294265</c:v>
                </c:pt>
                <c:pt idx="9" formatCode="&quot;$&quot;#,##0.00">
                  <c:v>3707408.0057699247</c:v>
                </c:pt>
                <c:pt idx="10" formatCode="&quot;$&quot;#,##0.00">
                  <c:v>4049144.7241254966</c:v>
                </c:pt>
                <c:pt idx="11" formatCode="&quot;$&quot;#,##0.00">
                  <c:v>593936.18806469161</c:v>
                </c:pt>
                <c:pt idx="13" formatCode="&quot;$&quot;#,##0.00">
                  <c:v>2749193.2277941452</c:v>
                </c:pt>
                <c:pt idx="14" formatCode="&quot;$&quot;#,##0.00">
                  <c:v>1987231.1575910565</c:v>
                </c:pt>
                <c:pt idx="15" formatCode="&quot;$&quot;#,##0.00">
                  <c:v>2532022.0031311736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F2-468A-9C73-6ACB99752EBA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Calculator!$M$191:$M$207</c:f>
              <c:numCache>
                <c:formatCode>"$"#,##0</c:formatCode>
                <c:ptCount val="17"/>
                <c:pt idx="1">
                  <c:v>1568807.9434908044</c:v>
                </c:pt>
                <c:pt idx="2">
                  <c:v>3895516.9253876666</c:v>
                </c:pt>
                <c:pt idx="3">
                  <c:v>778545.383166246</c:v>
                </c:pt>
                <c:pt idx="5" formatCode="&quot;$&quot;#,##0.00">
                  <c:v>423563.56292823656</c:v>
                </c:pt>
                <c:pt idx="6" formatCode="&quot;$&quot;#,##0.00">
                  <c:v>1707456.7616300036</c:v>
                </c:pt>
                <c:pt idx="7" formatCode="&quot;$&quot;#,##0.00">
                  <c:v>2225407.5730256042</c:v>
                </c:pt>
                <c:pt idx="9" formatCode="&quot;$&quot;#,##0.00">
                  <c:v>3437189.1236927523</c:v>
                </c:pt>
                <c:pt idx="10" formatCode="&quot;$&quot;#,##0.00">
                  <c:v>3433243.2744320235</c:v>
                </c:pt>
                <c:pt idx="11" formatCode="&quot;$&quot;#,##0.00">
                  <c:v>510668.79899653804</c:v>
                </c:pt>
                <c:pt idx="13" formatCode="&quot;$&quot;#,##0.00">
                  <c:v>2417233.0461555184</c:v>
                </c:pt>
                <c:pt idx="14" formatCode="&quot;$&quot;#,##0.00">
                  <c:v>1726716.6967183554</c:v>
                </c:pt>
                <c:pt idx="15" formatCode="&quot;$&quot;#,##0.00">
                  <c:v>1779394.3327221277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1F2-468A-9C73-6ACB99752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6786712"/>
        <c:axId val="606787040"/>
      </c:barChart>
      <c:catAx>
        <c:axId val="6067867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787040"/>
        <c:crosses val="autoZero"/>
        <c:auto val="1"/>
        <c:lblAlgn val="ctr"/>
        <c:lblOffset val="100"/>
        <c:noMultiLvlLbl val="0"/>
      </c:catAx>
      <c:valAx>
        <c:axId val="60678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786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 on Investment</a:t>
            </a:r>
            <a:r>
              <a:rPr lang="en-US" baseline="0"/>
              <a:t> (</a:t>
            </a:r>
            <a:r>
              <a:rPr lang="en-US"/>
              <a:t>ROI)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Results!$C$5</c:f>
              <c:strCache>
                <c:ptCount val="1"/>
                <c:pt idx="0">
                  <c:v>ROI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228-4BC6-808E-9D5A9AC10E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Results!$D$4:$E$4</c:f>
              <c:strCache>
                <c:ptCount val="2"/>
                <c:pt idx="0">
                  <c:v>Z14</c:v>
                </c:pt>
                <c:pt idx="1">
                  <c:v>X86</c:v>
                </c:pt>
              </c:strCache>
            </c:strRef>
          </c:cat>
          <c:val>
            <c:numRef>
              <c:f>Results!$D$5:$E$5</c:f>
              <c:numCache>
                <c:formatCode>0%</c:formatCode>
                <c:ptCount val="2"/>
                <c:pt idx="0">
                  <c:v>6.864263492262042</c:v>
                </c:pt>
                <c:pt idx="1">
                  <c:v>1.835629728161867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28-4BC6-808E-9D5A9AC10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0941400"/>
        <c:axId val="500937464"/>
      </c:barChart>
      <c:catAx>
        <c:axId val="500941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37464"/>
        <c:crosses val="autoZero"/>
        <c:auto val="1"/>
        <c:lblAlgn val="ctr"/>
        <c:lblOffset val="100"/>
        <c:noMultiLvlLbl val="0"/>
      </c:catAx>
      <c:valAx>
        <c:axId val="50093746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500941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Payback Period (Months)</a:t>
            </a:r>
          </a:p>
        </c:rich>
      </c:tx>
      <c:layout>
        <c:manualLayout>
          <c:xMode val="edge"/>
          <c:yMode val="edge"/>
          <c:x val="0.39617140248773253"/>
          <c:y val="2.36127508854781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Results!$C$9</c:f>
              <c:strCache>
                <c:ptCount val="1"/>
                <c:pt idx="0">
                  <c:v>Payback Period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25B-4D13-8E3C-7D0D629D281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Results!$D$8:$E$8</c:f>
              <c:strCache>
                <c:ptCount val="2"/>
                <c:pt idx="0">
                  <c:v>Z14</c:v>
                </c:pt>
                <c:pt idx="1">
                  <c:v>X86</c:v>
                </c:pt>
              </c:strCache>
            </c:strRef>
          </c:cat>
          <c:val>
            <c:numRef>
              <c:f>Results!$D$9:$E$9</c:f>
              <c:numCache>
                <c:formatCode>0.00</c:formatCode>
                <c:ptCount val="2"/>
                <c:pt idx="0">
                  <c:v>6.366218003907913</c:v>
                </c:pt>
                <c:pt idx="1">
                  <c:v>15.270592359037529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B-4D13-8E3C-7D0D629D2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00925656"/>
        <c:axId val="500925984"/>
      </c:barChart>
      <c:catAx>
        <c:axId val="500925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25984"/>
        <c:crosses val="autoZero"/>
        <c:auto val="1"/>
        <c:lblAlgn val="ctr"/>
        <c:lblOffset val="100"/>
        <c:noMultiLvlLbl val="0"/>
      </c:catAx>
      <c:valAx>
        <c:axId val="500925984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500925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Benefits</a:t>
            </a:r>
            <a:r>
              <a:rPr lang="en-US" baseline="0"/>
              <a:t> Four Quadrants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Results!$D$12</c:f>
              <c:strCache>
                <c:ptCount val="1"/>
                <c:pt idx="0">
                  <c:v>Z14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Results!$C$13:$C$29</c:f>
              <c:strCache>
                <c:ptCount val="16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</c:strCache>
            </c:strRef>
          </c:cat>
          <c:val>
            <c:numRef>
              <c:f>Results!$D$13:$D$29</c:f>
              <c:numCache>
                <c:formatCode>"$"#,##0</c:formatCode>
                <c:ptCount val="17"/>
                <c:pt idx="1">
                  <c:v>1950000</c:v>
                </c:pt>
                <c:pt idx="2">
                  <c:v>914312.12578434916</c:v>
                </c:pt>
                <c:pt idx="3">
                  <c:v>267028.06000000006</c:v>
                </c:pt>
                <c:pt idx="5">
                  <c:v>536799.75189325633</c:v>
                </c:pt>
                <c:pt idx="6">
                  <c:v>2229796.2495492245</c:v>
                </c:pt>
                <c:pt idx="7">
                  <c:v>2863174.9008294265</c:v>
                </c:pt>
                <c:pt idx="9">
                  <c:v>3707408.0057699247</c:v>
                </c:pt>
                <c:pt idx="10">
                  <c:v>4049144.7241254966</c:v>
                </c:pt>
                <c:pt idx="11">
                  <c:v>593936.18806469161</c:v>
                </c:pt>
                <c:pt idx="13">
                  <c:v>2749193.2277941452</c:v>
                </c:pt>
                <c:pt idx="14">
                  <c:v>1987231.1575910565</c:v>
                </c:pt>
                <c:pt idx="15">
                  <c:v>2532022.0031311736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DC-438C-8487-D121874A4CF3}"/>
            </c:ext>
          </c:extLst>
        </c:ser>
        <c:ser>
          <c:idx val="1"/>
          <c:order val="1"/>
          <c:tx>
            <c:strRef>
              <c:f>Results!$E$12</c:f>
              <c:strCache>
                <c:ptCount val="1"/>
                <c:pt idx="0">
                  <c:v>X86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Results!$C$13:$C$29</c:f>
              <c:strCache>
                <c:ptCount val="16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</c:strCache>
            </c:strRef>
          </c:cat>
          <c:val>
            <c:numRef>
              <c:f>Results!$E$13:$E$29</c:f>
              <c:numCache>
                <c:formatCode>"$"#,##0</c:formatCode>
                <c:ptCount val="17"/>
                <c:pt idx="1">
                  <c:v>1568807.9434908044</c:v>
                </c:pt>
                <c:pt idx="2">
                  <c:v>3895516.9253876666</c:v>
                </c:pt>
                <c:pt idx="3">
                  <c:v>778545.383166246</c:v>
                </c:pt>
                <c:pt idx="5">
                  <c:v>423563.56292823656</c:v>
                </c:pt>
                <c:pt idx="6">
                  <c:v>1707456.7616300036</c:v>
                </c:pt>
                <c:pt idx="7">
                  <c:v>2225407.5730256042</c:v>
                </c:pt>
                <c:pt idx="9">
                  <c:v>3437189.1236927523</c:v>
                </c:pt>
                <c:pt idx="10">
                  <c:v>3433243.2744320235</c:v>
                </c:pt>
                <c:pt idx="11">
                  <c:v>510668.79899653804</c:v>
                </c:pt>
                <c:pt idx="13">
                  <c:v>2417233.0461555184</c:v>
                </c:pt>
                <c:pt idx="14">
                  <c:v>1726716.6967183554</c:v>
                </c:pt>
                <c:pt idx="15">
                  <c:v>1779394.3327221277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DC-438C-8487-D121874A4C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5346600"/>
        <c:axId val="615353160"/>
      </c:barChart>
      <c:catAx>
        <c:axId val="615346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353160"/>
        <c:crosses val="autoZero"/>
        <c:auto val="1"/>
        <c:lblAlgn val="ctr"/>
        <c:lblOffset val="100"/>
        <c:noMultiLvlLbl val="0"/>
      </c:catAx>
      <c:valAx>
        <c:axId val="615353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346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841802251037968"/>
          <c:y val="0.92187445319335082"/>
          <c:w val="6.346156578194978E-2"/>
          <c:h val="4.34365974523454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jpe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53340</xdr:colOff>
      <xdr:row>3</xdr:row>
      <xdr:rowOff>114300</xdr:rowOff>
    </xdr:from>
    <xdr:to>
      <xdr:col>18</xdr:col>
      <xdr:colOff>0</xdr:colOff>
      <xdr:row>24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D7F4BC7-C9F5-42E9-A8A7-6EEE178747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23220" y="662940"/>
          <a:ext cx="3604260" cy="37795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510540</xdr:colOff>
      <xdr:row>32</xdr:row>
      <xdr:rowOff>167640</xdr:rowOff>
    </xdr:from>
    <xdr:to>
      <xdr:col>21</xdr:col>
      <xdr:colOff>314325</xdr:colOff>
      <xdr:row>53</xdr:row>
      <xdr:rowOff>95250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87F598-C0BD-414A-8F99-7AB7DEF4CB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70820" y="6019800"/>
          <a:ext cx="5897880" cy="37642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792480</xdr:colOff>
      <xdr:row>30</xdr:row>
      <xdr:rowOff>121920</xdr:rowOff>
    </xdr:from>
    <xdr:to>
      <xdr:col>10</xdr:col>
      <xdr:colOff>180975</xdr:colOff>
      <xdr:row>52</xdr:row>
      <xdr:rowOff>19050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6183FDE-2164-4AA3-A280-5BBABF8199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65420" y="5608320"/>
          <a:ext cx="4168140" cy="392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129540</xdr:colOff>
      <xdr:row>54</xdr:row>
      <xdr:rowOff>220980</xdr:rowOff>
    </xdr:from>
    <xdr:to>
      <xdr:col>17</xdr:col>
      <xdr:colOff>476250</xdr:colOff>
      <xdr:row>62</xdr:row>
      <xdr:rowOff>47625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B6EFC17-501E-4702-84CC-FC9AEB3E9C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1420" y="10104120"/>
          <a:ext cx="6438900" cy="44881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63</xdr:row>
      <xdr:rowOff>0</xdr:rowOff>
    </xdr:from>
    <xdr:to>
      <xdr:col>21</xdr:col>
      <xdr:colOff>171450</xdr:colOff>
      <xdr:row>76</xdr:row>
      <xdr:rowOff>95250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581FC5D-6D10-42EA-B02C-FBB151470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421880" y="14988540"/>
          <a:ext cx="8709660" cy="488442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79</xdr:row>
      <xdr:rowOff>0</xdr:rowOff>
    </xdr:from>
    <xdr:to>
      <xdr:col>21</xdr:col>
      <xdr:colOff>38100</xdr:colOff>
      <xdr:row>109</xdr:row>
      <xdr:rowOff>9525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896372A-2982-40F4-BFD5-A4FAC7470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421880" y="20330160"/>
          <a:ext cx="8571719" cy="5492972"/>
        </a:xfrm>
        <a:prstGeom prst="rect">
          <a:avLst/>
        </a:prstGeom>
      </xdr:spPr>
    </xdr:pic>
    <xdr:clientData/>
  </xdr:twoCellAnchor>
  <xdr:twoCellAnchor editAs="oneCell">
    <xdr:from>
      <xdr:col>19</xdr:col>
      <xdr:colOff>7620</xdr:colOff>
      <xdr:row>0</xdr:row>
      <xdr:rowOff>0</xdr:rowOff>
    </xdr:from>
    <xdr:to>
      <xdr:col>36</xdr:col>
      <xdr:colOff>476250</xdr:colOff>
      <xdr:row>29</xdr:row>
      <xdr:rowOff>9525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093DB62-F78F-434D-8B81-F1F5D4C590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44700" y="0"/>
          <a:ext cx="10835640" cy="5311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541020</xdr:colOff>
      <xdr:row>29</xdr:row>
      <xdr:rowOff>91440</xdr:rowOff>
    </xdr:from>
    <xdr:to>
      <xdr:col>39</xdr:col>
      <xdr:colOff>485775</xdr:colOff>
      <xdr:row>57</xdr:row>
      <xdr:rowOff>142875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E21430B-FC17-42AF-9560-EB2A8CFCA1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97300" y="5394960"/>
          <a:ext cx="10919460" cy="5966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30480</xdr:colOff>
      <xdr:row>56</xdr:row>
      <xdr:rowOff>350520</xdr:rowOff>
    </xdr:from>
    <xdr:to>
      <xdr:col>32</xdr:col>
      <xdr:colOff>133350</xdr:colOff>
      <xdr:row>67</xdr:row>
      <xdr:rowOff>28575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F38AD3A-92FB-4B0A-B10E-5A7D53B0CB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96360" y="11338560"/>
          <a:ext cx="6195060" cy="6339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129540</xdr:colOff>
      <xdr:row>189</xdr:row>
      <xdr:rowOff>19050</xdr:rowOff>
    </xdr:from>
    <xdr:to>
      <xdr:col>23</xdr:col>
      <xdr:colOff>381000</xdr:colOff>
      <xdr:row>204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33D3AD1-9B24-4913-B349-C14B6F9A4C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289560</xdr:colOff>
      <xdr:row>2</xdr:row>
      <xdr:rowOff>148590</xdr:rowOff>
    </xdr:from>
    <xdr:to>
      <xdr:col>15</xdr:col>
      <xdr:colOff>556260</xdr:colOff>
      <xdr:row>20</xdr:row>
      <xdr:rowOff>137160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4D65BB-CB98-4186-8DE8-40390B5D38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228600</xdr:colOff>
      <xdr:row>2</xdr:row>
      <xdr:rowOff>156210</xdr:rowOff>
    </xdr:from>
    <xdr:to>
      <xdr:col>25</xdr:col>
      <xdr:colOff>0</xdr:colOff>
      <xdr:row>20</xdr:row>
      <xdr:rowOff>60960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EE26E70-5BFD-4008-8099-4CC4431D86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312420</xdr:colOff>
      <xdr:row>22</xdr:row>
      <xdr:rowOff>102870</xdr:rowOff>
    </xdr:from>
    <xdr:to>
      <xdr:col>24</xdr:col>
      <xdr:colOff>601980</xdr:colOff>
      <xdr:row>49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32EB596-6E94-44EC-8B9C-3B37B91137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D:\Documents%20and%20Settings\Sid\Local%20Settings\Temporary%20Internet%20Files\Content.IE5\89MHENQZ\comp.xls" TargetMode="External"/></Relationships>
</file>

<file path=xl/externalLinks/_rels/externalLink2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D:\Users\IBM_ADMIN\Documents\IBM%20IT%20Economics%202015\Clients\Cabot%20Partners\Cabot%20Partners%20V1.xlsm" TargetMode="External"/></Relationships>
</file>

<file path=xl/externalLinks/_rels/externalLink3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D:\WINDOWS\TEMP\MERKL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V0"/>
      <sheetName val="A"/>
      <sheetName val="EFee"/>
      <sheetName val="Subfee2"/>
      <sheetName val="Subfee"/>
      <sheetName val="F072406"/>
      <sheetName val="Omeg"/>
      <sheetName val="F060206"/>
      <sheetName val="F081006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tle Page"/>
      <sheetName val="General Assumptions"/>
      <sheetName val="Results"/>
      <sheetName val="Z (Small)"/>
      <sheetName val="x86 (Small)"/>
      <sheetName val="Blank"/>
      <sheetName val="distGrid"/>
      <sheetName val="DL580 Costs"/>
      <sheetName val="DL560 Costs"/>
      <sheetName val="Sizing V1"/>
      <sheetName val="Sizing V2"/>
    </sheetNames>
    <sheetDataSet>
      <sheetData sheetId="0"/>
      <sheetData sheetId="1">
        <row r="20">
          <cell r="C20" t="str">
            <v>None</v>
          </cell>
        </row>
        <row r="21">
          <cell r="C21" t="str">
            <v>----------------------------</v>
          </cell>
        </row>
        <row r="22">
          <cell r="C22" t="str">
            <v>SAP Adaptive Server Enterprise (ASE) Enterprise Edition (Core)</v>
          </cell>
        </row>
        <row r="23">
          <cell r="C23" t="str">
            <v>SAP Adaptive Server Enterprise (ASE) Enterprise Edition Disaster Recovery Option (Core)</v>
          </cell>
        </row>
        <row r="24">
          <cell r="C24" t="str">
            <v xml:space="preserve">SAP Adaptive Server Enterprise (ASE) Enterprise Edition High Availability Option (Core) </v>
          </cell>
        </row>
        <row r="25">
          <cell r="C25" t="str">
            <v>SAP Adaptive Server Enterprise (ASE) Enterprise Edition Compression Option (Core)</v>
          </cell>
        </row>
        <row r="26">
          <cell r="C26" t="str">
            <v>SAP Adaptive Server Enterprise (ASE) Enterprise Edition Tivoli Storage Manager Option (TSM) (Core)</v>
          </cell>
        </row>
        <row r="27">
          <cell r="C27" t="str">
            <v>SAP Adaptive Server Enterprise (ASE) Enterprise Edition In-Memory Database Option (Core)</v>
          </cell>
        </row>
        <row r="28">
          <cell r="C28" t="str">
            <v>SAP Adaptive Server Enterprise (ASE) Enterprise Edition Active Messaging Option (Core)</v>
          </cell>
        </row>
        <row r="29">
          <cell r="C29" t="str">
            <v xml:space="preserve">SAP Adaptive Server Enterprise (ASE) Enterprise Edition Partitions Option (Core) </v>
          </cell>
        </row>
        <row r="30">
          <cell r="C30" t="str">
            <v>SAP Adaptive Server Enterprise (ASE) Enterprise Edition Encrypted Column Option (Core)</v>
          </cell>
        </row>
        <row r="31">
          <cell r="C31" t="str">
            <v>SAP Adaptive Server Enterprise (ASE) Enterprise Edition Security &amp; Directory Services Option (Core)</v>
          </cell>
        </row>
        <row r="32">
          <cell r="C32" t="str">
            <v>Sybase Adaptive Server Enterprise - Enterprise Edition Development and Testing (DT) - $13,385.00</v>
          </cell>
        </row>
        <row r="33">
          <cell r="C33" t="str">
            <v>SAP Enterprise Support (22%)</v>
          </cell>
        </row>
        <row r="34">
          <cell r="C34" t="str">
            <v>SAP Standard Support (19%)</v>
          </cell>
        </row>
        <row r="35">
          <cell r="C35" t="str">
            <v>----------------------------</v>
          </cell>
        </row>
        <row r="36">
          <cell r="C36" t="str">
            <v>Oracle Database Enterprise Edition</v>
          </cell>
        </row>
        <row r="37">
          <cell r="C37" t="str">
            <v>Oracle Real Application Clusters</v>
          </cell>
        </row>
        <row r="38">
          <cell r="C38" t="str">
            <v>Oracle Active Data Guard</v>
          </cell>
        </row>
        <row r="39">
          <cell r="C39" t="str">
            <v>Oracle Database Enterprise Management (Diagnostics Pack)</v>
          </cell>
        </row>
        <row r="40">
          <cell r="C40" t="str">
            <v>Oracle Database Enterprise Management (Tuning Pack)</v>
          </cell>
        </row>
        <row r="41">
          <cell r="C41" t="str">
            <v>Oracle Partitioning</v>
          </cell>
        </row>
        <row r="42">
          <cell r="C42" t="str">
            <v>Oracle Advanced Compression</v>
          </cell>
        </row>
        <row r="43">
          <cell r="C43" t="str">
            <v>Oracle Advanced Security (Encyption)</v>
          </cell>
        </row>
        <row r="44">
          <cell r="C44" t="str">
            <v>Oracle Database Lifecycle Management Pack</v>
          </cell>
        </row>
        <row r="45">
          <cell r="C45" t="str">
            <v>Oracle Golden Gate</v>
          </cell>
        </row>
        <row r="46">
          <cell r="C46" t="str">
            <v>WebLogic Server Enterprise Edition</v>
          </cell>
        </row>
        <row r="47">
          <cell r="C47" t="str">
            <v>Oracle Application Server 10g Enterprise Edition</v>
          </cell>
        </row>
        <row r="48">
          <cell r="C48" t="str">
            <v>---------------------------- State Farm Sep 2016 - SVP Level J</v>
          </cell>
        </row>
        <row r="49">
          <cell r="C49" t="str">
            <v>IBM DB2 Advanced Enterprise Server Edition - PVU</v>
          </cell>
        </row>
        <row r="50">
          <cell r="C50" t="str">
            <v>IBM DB2 Advanced Recovery Feature - VS</v>
          </cell>
        </row>
        <row r="51">
          <cell r="C51" t="str">
            <v>IBM DB2 Advanced Recovery Feature Linux on System z - PVU</v>
          </cell>
        </row>
        <row r="52">
          <cell r="C52" t="str">
            <v>IBM DB2 Enterprise Server Edition - PVU</v>
          </cell>
        </row>
        <row r="53">
          <cell r="C53" t="str">
            <v>IBM DB2 Encryption Offering for DB2 Enterprise Server Edition - PVU</v>
          </cell>
        </row>
        <row r="54">
          <cell r="C54" t="str">
            <v>IBM DB2 Developer Edition - AU</v>
          </cell>
        </row>
        <row r="55">
          <cell r="C55" t="str">
            <v>IBM DB2 Performance Management Offering for DB2 Enterprise Server Edition - PVU</v>
          </cell>
        </row>
        <row r="56">
          <cell r="C56" t="str">
            <v>IBM DB2 Recovery Expert for Linux, UNIX and Windows - PVU</v>
          </cell>
        </row>
        <row r="57">
          <cell r="C57" t="str">
            <v>IBM DB2 Merge Backup for Linux. UNIX, and Windows - PVU</v>
          </cell>
        </row>
        <row r="58">
          <cell r="C58" t="str">
            <v>----------------------------</v>
          </cell>
        </row>
        <row r="62">
          <cell r="C62" t="str">
            <v>None</v>
          </cell>
        </row>
        <row r="63">
          <cell r="C63" t="str">
            <v>----------------------------</v>
          </cell>
        </row>
        <row r="64">
          <cell r="C64" t="str">
            <v>Windows Server 2012 Standard</v>
          </cell>
        </row>
        <row r="65">
          <cell r="C65" t="str">
            <v>Windows Server 2012 Datacenter</v>
          </cell>
        </row>
        <row r="66">
          <cell r="C66" t="str">
            <v>System Center 2012 Standard</v>
          </cell>
        </row>
        <row r="67">
          <cell r="C67" t="str">
            <v>System Center 2012 Datacenter</v>
          </cell>
        </row>
        <row r="68">
          <cell r="C68" t="str">
            <v>Windows Server CAL Single License</v>
          </cell>
        </row>
        <row r="69">
          <cell r="C69" t="str">
            <v>----------------------------</v>
          </cell>
        </row>
        <row r="70">
          <cell r="C70" t="str">
            <v>vCloud Suite 5.1 Standard</v>
          </cell>
        </row>
        <row r="71">
          <cell r="C71" t="str">
            <v>vCloud Suite 5.1 Advanced</v>
          </cell>
        </row>
        <row r="72">
          <cell r="C72" t="str">
            <v>vCloud Suite 5.1 Enterprise</v>
          </cell>
        </row>
        <row r="73">
          <cell r="C73" t="str">
            <v>----------------------------</v>
          </cell>
        </row>
        <row r="74">
          <cell r="C74" t="str">
            <v>Service Manager (to manage above) - Estimated</v>
          </cell>
        </row>
        <row r="75">
          <cell r="C75" t="str">
            <v>----------------------------</v>
          </cell>
        </row>
        <row r="76">
          <cell r="C76" t="str">
            <v xml:space="preserve">vSphere 5 Standard </v>
          </cell>
        </row>
        <row r="77">
          <cell r="C77" t="str">
            <v xml:space="preserve">vSphere 5 Enterprise </v>
          </cell>
        </row>
        <row r="78">
          <cell r="C78" t="str">
            <v>vSphere 5 Enterprise Plus</v>
          </cell>
        </row>
        <row r="79">
          <cell r="C79" t="str">
            <v>----------------------------</v>
          </cell>
        </row>
        <row r="80">
          <cell r="C80" t="str">
            <v xml:space="preserve">vSphere with Operations Management 5 Standard </v>
          </cell>
        </row>
        <row r="81">
          <cell r="C81" t="str">
            <v>vSphere with Operations Management 5 Enterprise</v>
          </cell>
        </row>
        <row r="82">
          <cell r="C82" t="str">
            <v xml:space="preserve">vSphere with Operations Management 5 Enterprise Plus </v>
          </cell>
        </row>
        <row r="83">
          <cell r="C83" t="str">
            <v>----------------------------</v>
          </cell>
        </row>
        <row r="84">
          <cell r="C84" t="str">
            <v>vCenter Server 5 Standard for vSphere 5 (to manage above)</v>
          </cell>
        </row>
        <row r="85">
          <cell r="C85" t="str">
            <v>----------------------------</v>
          </cell>
        </row>
        <row r="86">
          <cell r="C86" t="str">
            <v>RHEL Standard Subscription, 2-sockets with 1 virtual guest</v>
          </cell>
        </row>
        <row r="87">
          <cell r="C87" t="str">
            <v>RHEL Premium Subscription, 2-sockets with 1 virtual guest</v>
          </cell>
        </row>
        <row r="88">
          <cell r="C88" t="str">
            <v>RHEL Standard Subscription, 4-sockets with 1 virtual guest</v>
          </cell>
        </row>
        <row r="89">
          <cell r="C89" t="str">
            <v>RHEL Premium Subscription, 4-sockets with 1 virtual guest</v>
          </cell>
        </row>
        <row r="90">
          <cell r="C90" t="str">
            <v>RHEL Standard Subscription, 2-sockets with unlimited virtual guests</v>
          </cell>
        </row>
        <row r="91">
          <cell r="C91" t="str">
            <v>RHEL Premium Subscription, 2-sockets with unlimited virtual guests</v>
          </cell>
        </row>
        <row r="92">
          <cell r="C92" t="str">
            <v>RHEL Standard Subscription, 4-sockets with unlimited virtual guests</v>
          </cell>
        </row>
        <row r="93">
          <cell r="C93" t="str">
            <v>RHEL Premium Subscription, 4-sockets with unlimited virtual guests</v>
          </cell>
        </row>
        <row r="94">
          <cell r="C94" t="str">
            <v>----------------------------</v>
          </cell>
        </row>
        <row r="95">
          <cell r="C95" t="str">
            <v>RHEL IBM POWER Standard Subscription (1 year) 2 sockets (15 LPARs)</v>
          </cell>
        </row>
        <row r="96">
          <cell r="C96" t="str">
            <v xml:space="preserve">RHEL IBM POWER Standard Subscription (1 year) 4 sockets (30 LPARs) </v>
          </cell>
        </row>
        <row r="97">
          <cell r="C97" t="str">
            <v>RHEL IBM POWER Premium Subscription (1 year) 2 sockets (15 LPARs)</v>
          </cell>
        </row>
        <row r="98">
          <cell r="C98" t="str">
            <v xml:space="preserve">RHEL IBM POWER Premium Subscription (1 year) 4 sockets (30 LPARs) </v>
          </cell>
        </row>
        <row r="99">
          <cell r="C99" t="str">
            <v>----------------------------</v>
          </cell>
        </row>
        <row r="100">
          <cell r="C100" t="str">
            <v>RHEL Premium Subscription, for IBM System z</v>
          </cell>
        </row>
        <row r="101">
          <cell r="C101" t="str">
            <v>RHEL Standard Subscription, for IBM System z</v>
          </cell>
        </row>
        <row r="102">
          <cell r="C102" t="str">
            <v>IBM Support Line for Linux (System z)</v>
          </cell>
        </row>
        <row r="103">
          <cell r="C103" t="str">
            <v>1 year Support for Linux (Power on Linux), per server</v>
          </cell>
        </row>
        <row r="104">
          <cell r="C104" t="str">
            <v>PowerKVM (Power)</v>
          </cell>
        </row>
        <row r="105">
          <cell r="C105" t="str">
            <v>PowerVC Standard Edition, includes 1 year maint.</v>
          </cell>
        </row>
        <row r="106">
          <cell r="C106" t="str">
            <v>PowerVC Express Edition, includes 1 year maint. (7R2)</v>
          </cell>
        </row>
        <row r="107">
          <cell r="C107" t="str">
            <v>RHEL High Availability Add-On 2-sockets (1 year)</v>
          </cell>
        </row>
        <row r="108">
          <cell r="C108" t="str">
            <v>RHEL High Availability Add-On 4-sockets (1 year)</v>
          </cell>
        </row>
        <row r="109">
          <cell r="C109" t="str">
            <v>----------------------------</v>
          </cell>
        </row>
        <row r="110">
          <cell r="C110" t="str">
            <v>HP-UX 11i v3 BOS Per Socket LTU for Integrity 4-socket (BL870c i2)</v>
          </cell>
        </row>
        <row r="111">
          <cell r="C111" t="str">
            <v>HP-UX 11i v3 BOS Per Core LTU for Integrity 4-socket server (BL870c)</v>
          </cell>
        </row>
        <row r="112">
          <cell r="C112" t="str">
            <v>HP-UX 11i v3 BOS Per Core LTU for Integrity 16+ socket server (rx8640)</v>
          </cell>
        </row>
        <row r="113">
          <cell r="C113" t="str">
            <v>----------------------------</v>
          </cell>
        </row>
        <row r="114">
          <cell r="C114" t="str">
            <v>Oracle Linux Premier Limited (No more than 2 CPUs) 1-Year</v>
          </cell>
        </row>
        <row r="115">
          <cell r="C115" t="str">
            <v>Oracle Linux Premier 1-Year</v>
          </cell>
        </row>
        <row r="116">
          <cell r="C116" t="str">
            <v>Oracle VM Server for x86 Premier Limited (No more than 2 CPUs) 1-Year</v>
          </cell>
        </row>
        <row r="117">
          <cell r="C117" t="str">
            <v>Oracle VM Server for x86 Premier 1-Year</v>
          </cell>
        </row>
        <row r="118">
          <cell r="C118" t="str">
            <v>----------------------------</v>
          </cell>
        </row>
        <row r="119">
          <cell r="C119" t="str">
            <v>IBM Netcool Network Management Base Install License + SW Subscription &amp; Support 12 Months</v>
          </cell>
        </row>
        <row r="120">
          <cell r="C120" t="str">
            <v>IBM Netcool Network Management Combined Management Device RVU License + SW Subscription &amp; Support 12 Months</v>
          </cell>
        </row>
        <row r="121">
          <cell r="C121" t="str">
            <v>IBM Netcool Network Management Configuration Standard Basic Device RVU License + SW Subscription &amp; Support 12 Months</v>
          </cell>
        </row>
        <row r="122">
          <cell r="C122" t="str">
            <v>IBM Netcool Network Management Configuration Standard Device RVU License + SW Subscription &amp; Support 12 Months</v>
          </cell>
        </row>
        <row r="123">
          <cell r="C123" t="str">
            <v>IBM Netcool Network Management Entry Device RVU License + SW Subscription &amp; Support 12 Months</v>
          </cell>
        </row>
        <row r="124">
          <cell r="C124" t="str">
            <v>IBM Netcool Network Management Event Basic Device RVU License + SW Subscription &amp; Support 12 Months</v>
          </cell>
        </row>
        <row r="125">
          <cell r="C125" t="str">
            <v>IBM Netcool Network Management Event Device RVU License + SW Subscription &amp; Support 12 Months</v>
          </cell>
        </row>
        <row r="126">
          <cell r="C126" t="str">
            <v>IBM Tivoli Monitoring Agent Builder/OS Agentless Monitoring RVU License + SW Subscription &amp; Support 12 Months</v>
          </cell>
        </row>
        <row r="127">
          <cell r="C127" t="str">
            <v>IBM Tivoli Monitoring for Virtual Environments Agent for Cisco UCS RVU License + SW Subscription &amp; Support 12 Months</v>
          </cell>
        </row>
        <row r="128">
          <cell r="C128" t="str">
            <v>IBM Tivoli Monitoring for Virtual Environments Agent for Citrix XenApp RVU License + SW Subscription &amp; Support 12 Months</v>
          </cell>
        </row>
        <row r="129">
          <cell r="C129" t="str">
            <v>IBM Tivoli Monitoring for Virtual Environments Agent for Citrix XenDesktop RVU License + SW Subscription &amp; Support 12 Months</v>
          </cell>
        </row>
        <row r="130">
          <cell r="C130" t="str">
            <v>IBM Tivoli Monitoring for Virtual Environments for Citrix XenServer RVU License + SW Subscription &amp; Support 12 Months</v>
          </cell>
        </row>
        <row r="131">
          <cell r="C131" t="str">
            <v>IBM Tivoli Monitoring for Virtual Environments RVU License + SW Subscription &amp; Support 12 Months</v>
          </cell>
        </row>
        <row r="132">
          <cell r="C132" t="str">
            <v>IBM Tivoli Monitoring RVU License + SW Subscription &amp; Support 12 Months</v>
          </cell>
        </row>
        <row r="133">
          <cell r="C133" t="str">
            <v>IBM Tivoli Netcool Configuration Manager Base Install License + SW Subscription &amp; Support 12 Months</v>
          </cell>
        </row>
        <row r="134">
          <cell r="C134" t="str">
            <v>IBM Tivoli Netcool Configuration Manager Configuration Standard Basic Device RVU License + SW Subscription &amp; Support 12 Months</v>
          </cell>
        </row>
        <row r="135">
          <cell r="C135" t="str">
            <v>IBM Tivoli Netcool Configuration Manager Configuration Standard Device RVU License + SW Subscription &amp; Support 12 Months</v>
          </cell>
        </row>
        <row r="136">
          <cell r="C136" t="str">
            <v>IBM Tivoli Netcool Network Management Data Exchange Connection License + SW Subscription &amp; Support 12 Months</v>
          </cell>
        </row>
        <row r="137">
          <cell r="C137" t="str">
            <v xml:space="preserve">IBM Tivoli Netcool OMNIbus Base Install License </v>
          </cell>
        </row>
        <row r="138">
          <cell r="C138" t="str">
            <v>IBM Tivoli Provisioning Manager RVU License + SW Subscription &amp; Support 12 Months</v>
          </cell>
        </row>
        <row r="139">
          <cell r="C139" t="str">
            <v>IBM Tivoli Storage Manager 10 Processor Value Units (PVUs) License + SW Subscription &amp; Support 12 Months</v>
          </cell>
        </row>
        <row r="140">
          <cell r="C140" t="str">
            <v>IBM Tivoli Storage Manager Extended Edition 10 Processor Value Units (PVUs) License + SW Subscription &amp; Support 12 Months</v>
          </cell>
        </row>
        <row r="141">
          <cell r="C141" t="str">
            <v>IBM Tivoli Storage Manager FlashCopy Manager Terabyte (1-12) License + SW Subscription &amp; Support 12 Months</v>
          </cell>
        </row>
        <row r="142">
          <cell r="C142" t="str">
            <v>IBM Tivoli Storage Manager for Databases 10 Processor Value Units (PVUs) License + SW Subscription &amp; Support 12 Months</v>
          </cell>
        </row>
        <row r="143">
          <cell r="C143" t="str">
            <v>IBM Tivoli Storage Productivity Center Terabyte (1-100) License + SW Subscription &amp; Support 12 Months</v>
          </cell>
        </row>
        <row r="144">
          <cell r="C144" t="str">
            <v>IBM Tivoli System Automation Application  Manager PVU License + SW Subscription &amp; Support 12 Months</v>
          </cell>
        </row>
        <row r="145">
          <cell r="C145" t="str">
            <v>IBM Tivoli System Automation Application Manager for zOS Adapter PVU License + SW Subscription &amp; Support 12 Months</v>
          </cell>
        </row>
        <row r="146">
          <cell r="C146" t="str">
            <v>IBM Tivoli System Automation for Multiplatforms PVU License + SW Subscription &amp; Support 12 Months</v>
          </cell>
        </row>
        <row r="147">
          <cell r="C147" t="str">
            <v>IBM Tivoli System Automation for Multiplatforms XDR  for  Linux PVU License + SW Subscription &amp; Support 12 Months</v>
          </cell>
        </row>
        <row r="148">
          <cell r="C148" t="str">
            <v>IBM Tivoli System Automation High Availability Policies for SAP PVU License + SW Subscription &amp; Support 12 Months</v>
          </cell>
        </row>
        <row r="149">
          <cell r="C149" t="str">
            <v>IBM Tivoli Tivoli Composite Applications for Application Diagnostics RVU License + SW Subscription &amp; Support 12 Months</v>
          </cell>
        </row>
        <row r="150">
          <cell r="C150" t="str">
            <v>IBM Tivoli Workload Scheduler for Applications PVU License + SW Subscription &amp; Support 12 Months</v>
          </cell>
        </row>
        <row r="151">
          <cell r="C151" t="str">
            <v>IBM Tivoli Workload Scheduler Plug-in for Informatica PowerCenter PVU License + SW Subscription &amp; Support 12 Months</v>
          </cell>
        </row>
        <row r="152">
          <cell r="C152" t="str">
            <v>IBM Tivoli Workload Scheduler PVU License + SW Subscription &amp; Support 12 Months</v>
          </cell>
        </row>
        <row r="153">
          <cell r="C153" t="str">
            <v>Syncsort DMEXPRESS DATABASE TARGET-GROUP 60 SRVR</v>
          </cell>
        </row>
        <row r="154">
          <cell r="C154" t="str">
            <v>Syncsort DMEXPRESS DATABASE TARGET GRP 80-1 SRVR</v>
          </cell>
        </row>
        <row r="155">
          <cell r="C155" t="str">
            <v>Syncsort DMEXPRESS DATABASE TARGET GRP 80-3 SRVR</v>
          </cell>
        </row>
        <row r="156">
          <cell r="C156" t="str">
            <v>---------------------------- OCC SVP Level G</v>
          </cell>
        </row>
        <row r="157">
          <cell r="C157" t="str">
            <v>IBM BigFix Protection - CD</v>
          </cell>
        </row>
        <row r="158">
          <cell r="C158" t="str">
            <v>IBM BigFix Protection - MVS</v>
          </cell>
        </row>
        <row r="159">
          <cell r="C159" t="str">
            <v>IBM BigFix Protection - RVU</v>
          </cell>
        </row>
        <row r="160">
          <cell r="C160" t="str">
            <v>IBM BigFix Lifecycle - CD</v>
          </cell>
        </row>
        <row r="161">
          <cell r="C161" t="str">
            <v>IBM BigFix Lifecycle - MVS</v>
          </cell>
        </row>
        <row r="162">
          <cell r="C162" t="str">
            <v>IBM BigFix Lifecycle - RVU</v>
          </cell>
        </row>
        <row r="163">
          <cell r="C163" t="str">
            <v>IBM BigFix Patch - MVS</v>
          </cell>
        </row>
        <row r="164">
          <cell r="C164" t="str">
            <v>IBM BigFix Patch - RVU</v>
          </cell>
        </row>
        <row r="165">
          <cell r="C165" t="str">
            <v>IBM BigFix Inventory - CD</v>
          </cell>
        </row>
        <row r="166">
          <cell r="C166" t="str">
            <v>IBM BigFix Inventory - MVS</v>
          </cell>
        </row>
        <row r="167">
          <cell r="C167" t="str">
            <v>IBM BigFix Inventory - RVU</v>
          </cell>
        </row>
        <row r="168">
          <cell r="C168" t="str">
            <v>IBM BigFix Compliance - MVS</v>
          </cell>
        </row>
        <row r="169">
          <cell r="C169" t="str">
            <v>IBM BigFix Compliance - RVU</v>
          </cell>
        </row>
        <row r="170">
          <cell r="C170" t="str">
            <v>IBM BigFix Compliance - CD</v>
          </cell>
        </row>
        <row r="171">
          <cell r="C171" t="str">
            <v>IBM Service Delivery Manager on Power Systems - RVU</v>
          </cell>
        </row>
        <row r="172">
          <cell r="C172" t="str">
            <v>IBM Service Delivery Manager on x86 for VMWare - RVU</v>
          </cell>
        </row>
        <row r="174">
          <cell r="C174" t="str">
            <v>IBM Security Identity Manager Application Edition - UVU</v>
          </cell>
        </row>
        <row r="175">
          <cell r="C175" t="str">
            <v>IBM Security Identity Manager and Role Management Unlimited User Option - PVU</v>
          </cell>
        </row>
        <row r="176">
          <cell r="C176" t="str">
            <v>IBM Security Identity Manager and Role Management - UVU</v>
          </cell>
        </row>
        <row r="177">
          <cell r="C177" t="str">
            <v>IBM Security Access Manager for Enterprise Single Sign-On Standard - UVU</v>
          </cell>
        </row>
        <row r="178">
          <cell r="C178" t="str">
            <v>IBM Security Access Manager for Enterprise Single Sign-On Suite - UVU</v>
          </cell>
        </row>
        <row r="179">
          <cell r="C179" t="str">
            <v>IBM Security Access Manager Virtual Edition Non-Production - PVU</v>
          </cell>
        </row>
        <row r="180">
          <cell r="C180" t="str">
            <v>IBM Security Access Manager Virtual Edition - PVU</v>
          </cell>
        </row>
        <row r="181">
          <cell r="C181" t="str">
            <v>IBM Security Access Manager Virtual Enterprise Edition Non-Production - PVU</v>
          </cell>
        </row>
        <row r="182">
          <cell r="C182" t="str">
            <v>IBM Security Access Manager Virtual Enterprise Edition - PVU</v>
          </cell>
        </row>
        <row r="183">
          <cell r="C183" t="str">
            <v>IBM Security Directory Suite Enterprise Edition Non-Production - PVU</v>
          </cell>
        </row>
        <row r="184">
          <cell r="C184" t="str">
            <v>IBM Security Directory Suite Enterprise Edition - PVU</v>
          </cell>
        </row>
        <row r="185">
          <cell r="C185" t="str">
            <v>IBM Security Directory Suite Standard Edition Non-Production - PVU</v>
          </cell>
        </row>
        <row r="186">
          <cell r="C186" t="str">
            <v>IBM Security Directory Suite Standard Edition - PVU</v>
          </cell>
        </row>
        <row r="188">
          <cell r="C188" t="str">
            <v>IBM Tivoli Monitoring for Virtual Environments Agent for Cisco UCS - RVU</v>
          </cell>
        </row>
        <row r="189">
          <cell r="C189" t="str">
            <v>IBM Tivoli Monitoring for Virtual Environments Agent for Citrix XenApp - RVU</v>
          </cell>
        </row>
        <row r="190">
          <cell r="C190" t="str">
            <v>IBM Tivoli Monitoring for Virtual Environments - RVU</v>
          </cell>
        </row>
        <row r="191">
          <cell r="C191" t="str">
            <v>IBM Tivoli Monitoring for Linux on z - RVU</v>
          </cell>
        </row>
        <row r="192">
          <cell r="C192" t="str">
            <v>IBM Tivoli Netcool Configuration Manager Base - Install</v>
          </cell>
        </row>
        <row r="193">
          <cell r="C193" t="str">
            <v>IBM Tivoli Netcool Configuration Manager Configuration Standard Basic Device - RVU</v>
          </cell>
        </row>
        <row r="194">
          <cell r="C194" t="str">
            <v>IBM Tivoli Netcool Configuration Manager Configuration Standard Device - RVU</v>
          </cell>
        </row>
        <row r="195">
          <cell r="C195" t="str">
            <v>IBM Tivoli Netcool Configuration Manager SmartModel Basic Device - RVU</v>
          </cell>
        </row>
        <row r="196">
          <cell r="C196" t="str">
            <v>IBM Tivoli Composite Application Manager For Applications 3 Agent Pack - RVU</v>
          </cell>
        </row>
        <row r="197">
          <cell r="C197" t="str">
            <v>IBM Tivoli Composite Application Manager For Applications Full Agent Pack - RVU</v>
          </cell>
        </row>
        <row r="198">
          <cell r="C198" t="str">
            <v>IBM Tivoli Composite Application Manager for Applications Single Agent - RVU</v>
          </cell>
        </row>
        <row r="199">
          <cell r="C199" t="str">
            <v xml:space="preserve">IBM Tivoli Netcool OMNIbus Base - Install  </v>
          </cell>
        </row>
        <row r="200">
          <cell r="C200" t="str">
            <v xml:space="preserve">IBM Tivoli Netcool OMNIbus Data Exchange - Connection  </v>
          </cell>
        </row>
        <row r="201">
          <cell r="C201" t="str">
            <v>IBM Tivoli Netcool OMNIbus Event Basic Device Tier - RVU</v>
          </cell>
        </row>
        <row r="202">
          <cell r="C202" t="str">
            <v xml:space="preserve">IBM Tivoli Netcool OMNIbus Event Device Tier - RVU </v>
          </cell>
        </row>
        <row r="203">
          <cell r="C203" t="str">
            <v>IBM Tivoli Netcool OMNIbus Event EMS Tier - RVU</v>
          </cell>
        </row>
        <row r="204">
          <cell r="C204" t="str">
            <v>IBM Monitoring - MVS</v>
          </cell>
        </row>
        <row r="205">
          <cell r="C205" t="str">
            <v>IBM Application Diagnostics - MVS</v>
          </cell>
        </row>
        <row r="207">
          <cell r="C207" t="str">
            <v>IBM Spectrum Control Advanced Select Edition - SD</v>
          </cell>
        </row>
        <row r="208">
          <cell r="C208" t="str">
            <v xml:space="preserve">IBM Spectrum Control Advanced Edition Storage Capacity Unit (1-100)  </v>
          </cell>
        </row>
        <row r="209">
          <cell r="C209" t="str">
            <v xml:space="preserve">IBM Spectrum Control Advanced Edition Storage Capacity Unit (101-250)  </v>
          </cell>
        </row>
        <row r="210">
          <cell r="C210" t="str">
            <v xml:space="preserve">IBM Spectrum Control Advanced Edition Storage Capacity Unit (1251-2000)  </v>
          </cell>
        </row>
        <row r="211">
          <cell r="C211" t="str">
            <v xml:space="preserve">IBM Spectrum Protect Snapshot per Terabyte 1-12  </v>
          </cell>
        </row>
        <row r="212">
          <cell r="C212" t="str">
            <v xml:space="preserve">IBM Spectrum Storage Suite per Terabyte  </v>
          </cell>
        </row>
        <row r="213">
          <cell r="C213" t="str">
            <v>IBM Spectrum Protect - 10 PVUs</v>
          </cell>
        </row>
        <row r="214">
          <cell r="C214" t="str">
            <v>IBM Spectrum Protect Extended Edition - 10 PVUs</v>
          </cell>
        </row>
        <row r="215">
          <cell r="C215" t="str">
            <v xml:space="preserve">IBM Spectrum Protect for Data Retention Terabyte (1-12)  </v>
          </cell>
        </row>
        <row r="216">
          <cell r="C216" t="str">
            <v>IBM Spectrum Protect for Databases - 10 PVUs</v>
          </cell>
        </row>
        <row r="217">
          <cell r="C217" t="str">
            <v>IBM Spectrum Protect for SAN - 10 PVUs</v>
          </cell>
        </row>
        <row r="218">
          <cell r="C218" t="str">
            <v>IBM Spectrum Protect for Virtual Environments - 10 PVUs</v>
          </cell>
        </row>
        <row r="219">
          <cell r="C219" t="str">
            <v xml:space="preserve">IBM Spectrum Protect Suite - Archive Option Terabyte  </v>
          </cell>
        </row>
        <row r="220">
          <cell r="C220" t="str">
            <v xml:space="preserve">IBM Spectrum Protect Suite Terabyte (1-100)  </v>
          </cell>
        </row>
        <row r="221">
          <cell r="C221" t="str">
            <v>IBM Spectrum Protect Entry - MS</v>
          </cell>
        </row>
        <row r="222">
          <cell r="C222" t="str">
            <v xml:space="preserve">IBM Spectrum Control Standard Edition Storage Capacity Unit (1-100)  </v>
          </cell>
        </row>
        <row r="223">
          <cell r="C223" t="str">
            <v>IBM Spectrum Control Standard Select Edition - SD</v>
          </cell>
        </row>
        <row r="225">
          <cell r="C225" t="str">
            <v>IBM Service Automation Manager Base for Linux on System z - RVU</v>
          </cell>
        </row>
        <row r="226">
          <cell r="C226" t="str">
            <v>IBM Service Automation Manager for WAS for Linux on System z - RVU</v>
          </cell>
        </row>
        <row r="227">
          <cell r="C227" t="str">
            <v>IBM Workload Scheduler - PVU</v>
          </cell>
        </row>
        <row r="228">
          <cell r="C228" t="str">
            <v>IBM Workload Scheduler for Applications - PVU</v>
          </cell>
        </row>
        <row r="229">
          <cell r="C229" t="str">
            <v xml:space="preserve">IBM Workload Automation 10 MONTHLY JOBS  </v>
          </cell>
        </row>
        <row r="230">
          <cell r="C230" t="str">
            <v>----------------------------</v>
          </cell>
        </row>
        <row r="231">
          <cell r="C231" t="str">
            <v>End</v>
          </cell>
        </row>
        <row r="285">
          <cell r="C285" t="str">
            <v>None</v>
          </cell>
        </row>
        <row r="286">
          <cell r="C286" t="str">
            <v>sq ft</v>
          </cell>
        </row>
        <row r="287">
          <cell r="C287" t="str">
            <v>sq m</v>
          </cell>
        </row>
        <row r="288">
          <cell r="C288" t="str">
            <v>Area per cabinet (16 sq ft) 42U</v>
          </cell>
        </row>
        <row r="289">
          <cell r="C289" t="str">
            <v>1U</v>
          </cell>
        </row>
        <row r="293">
          <cell r="C293" t="str">
            <v>None</v>
          </cell>
        </row>
        <row r="294">
          <cell r="C294" t="str">
            <v>Generic Server</v>
          </cell>
        </row>
        <row r="295">
          <cell r="C295" t="str">
            <v>Generic Port</v>
          </cell>
        </row>
        <row r="296">
          <cell r="C296" t="str">
            <v>1 Gb Port (LAN)</v>
          </cell>
        </row>
        <row r="297">
          <cell r="C297" t="str">
            <v>8 Gb Port (SAN)</v>
          </cell>
        </row>
        <row r="298">
          <cell r="C298" t="str">
            <v>10 Gb Port (SAN)</v>
          </cell>
        </row>
        <row r="302">
          <cell r="C302" t="str">
            <v>None</v>
          </cell>
        </row>
        <row r="303">
          <cell r="C303" t="str">
            <v xml:space="preserve">Annual FTE Blended Rate </v>
          </cell>
        </row>
        <row r="304">
          <cell r="C304" t="str">
            <v>Annual Hardware FTE  (32 hrs per physical server)</v>
          </cell>
        </row>
        <row r="305">
          <cell r="C305" t="str">
            <v>Annual Hardware FTE  (32 hrs per physical server) - Blades</v>
          </cell>
        </row>
        <row r="306">
          <cell r="C306" t="str">
            <v>Annual Software FTE (36 hrs per virtual server)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B"/>
      <sheetName val="NAV0"/>
      <sheetName val="EGO"/>
      <sheetName val="EFee"/>
      <sheetName val="swfee"/>
      <sheetName val="Feeactual"/>
      <sheetName val="FwCMS"/>
      <sheetName val="FwoCMS"/>
    </sheetNames>
    <sheetDataSet>
      <sheetData sheetId="0"/>
      <sheetData sheetId="1" refreshError="1"/>
      <sheetData sheetId="2" refreshError="1"/>
      <sheetData sheetId="3"/>
      <sheetData sheetId="4" refreshError="1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2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F68"/>
  <sheetViews>
    <sheetView topLeftCell="A2" workbookViewId="0">
      <selection activeCell="X58" sqref="X58"/>
    </sheetView>
  </sheetViews>
  <sheetFormatPr defaultRowHeight="14.4" x14ac:dyDescent="0.3"/>
  <cols>
    <col min="2" max="2" width="10.6640625" customWidth="1"/>
    <col min="3" max="3" width="27.6640625" customWidth="1"/>
    <col min="6" max="6" width="34.109375" customWidth="1"/>
  </cols>
  <sheetData>
    <row r="4">
      <c r="A4" s="0">
        <v>1</v>
      </c>
      <c r="B4" s="0" t="s">
        <v>29</v>
      </c>
      <c r="F4" s="18" t="s">
        <v>30</v>
      </c>
    </row>
    <row r="5">
      <c r="C5" s="0" t="s">
        <v>31</v>
      </c>
      <c r="F5" s="0" t="s">
        <v>32</v>
      </c>
    </row>
    <row r="6">
      <c r="C6" s="0" t="s">
        <v>33</v>
      </c>
      <c r="F6" s="0" t="s">
        <v>34</v>
      </c>
    </row>
    <row r="7">
      <c r="C7" s="0" t="s">
        <v>35</v>
      </c>
      <c r="F7" s="0" t="s">
        <v>36</v>
      </c>
    </row>
    <row r="8">
      <c r="C8" s="0" t="s">
        <v>37</v>
      </c>
      <c r="F8" s="0" t="s">
        <v>38</v>
      </c>
    </row>
    <row r="9">
      <c r="C9" s="0" t="s">
        <v>39</v>
      </c>
    </row>
    <row r="10">
      <c r="F10" s="18" t="s">
        <v>40</v>
      </c>
    </row>
    <row r="11">
      <c r="A11" s="0">
        <v>2</v>
      </c>
      <c r="B11" s="0" t="s">
        <v>41</v>
      </c>
      <c r="F11" s="0" t="s">
        <v>42</v>
      </c>
    </row>
    <row r="12">
      <c r="C12" s="0" t="s">
        <v>43</v>
      </c>
      <c r="F12" s="0" t="s">
        <v>44</v>
      </c>
    </row>
    <row r="13">
      <c r="F13" s="0" t="s">
        <v>45</v>
      </c>
    </row>
    <row r="14">
      <c r="F14" s="0" t="s">
        <v>46</v>
      </c>
    </row>
    <row r="15">
      <c r="A15" s="0">
        <v>3</v>
      </c>
      <c r="B15" s="0" t="s">
        <v>47</v>
      </c>
    </row>
    <row r="16">
      <c r="C16" s="0" t="s">
        <v>48</v>
      </c>
      <c r="F16" s="18" t="s">
        <v>49</v>
      </c>
    </row>
    <row r="17">
      <c r="C17" s="0" t="s">
        <v>50</v>
      </c>
      <c r="F17" s="66" t="s">
        <v>51</v>
      </c>
    </row>
    <row r="18">
      <c r="F18" s="64" t="s">
        <v>52</v>
      </c>
    </row>
    <row r="19">
      <c r="A19" s="0">
        <v>4</v>
      </c>
      <c r="B19" s="0" t="s">
        <v>53</v>
      </c>
      <c r="F19" s="64" t="s">
        <v>54</v>
      </c>
    </row>
    <row r="20">
      <c r="C20" s="0" t="s">
        <v>55</v>
      </c>
      <c r="F20" s="66" t="s">
        <v>56</v>
      </c>
    </row>
    <row r="21">
      <c r="F21" s="64" t="s">
        <v>57</v>
      </c>
    </row>
    <row r="22">
      <c r="A22" s="0">
        <v>5</v>
      </c>
      <c r="B22" s="0" t="s">
        <v>58</v>
      </c>
      <c r="F22" s="64" t="s">
        <v>59</v>
      </c>
    </row>
    <row r="23">
      <c r="C23" s="0" t="s">
        <v>60</v>
      </c>
      <c r="F23" s="64" t="s">
        <v>61</v>
      </c>
    </row>
    <row r="24">
      <c r="C24" s="0" t="s">
        <v>62</v>
      </c>
      <c r="F24" s="66" t="s">
        <v>63</v>
      </c>
    </row>
    <row r="25">
      <c r="C25" s="0" t="s">
        <v>64</v>
      </c>
      <c r="F25" s="64" t="s">
        <v>65</v>
      </c>
    </row>
    <row r="26">
      <c r="C26" s="0" t="s">
        <v>66</v>
      </c>
      <c r="F26" s="64" t="s">
        <v>67</v>
      </c>
    </row>
    <row r="27">
      <c r="C27" s="0" t="s">
        <v>68</v>
      </c>
      <c r="F27" s="67" t="s">
        <v>69</v>
      </c>
    </row>
    <row r="28">
      <c r="C28" s="0" t="s">
        <v>70</v>
      </c>
      <c r="F28" s="64" t="s">
        <v>71</v>
      </c>
    </row>
    <row r="29">
      <c r="C29" s="0" t="s">
        <v>72</v>
      </c>
      <c r="F29" s="65" t="s">
        <v>73</v>
      </c>
    </row>
    <row r="30">
      <c r="C30" s="0" t="s">
        <v>74</v>
      </c>
    </row>
    <row r="31">
      <c r="C31" s="0" t="s">
        <v>75</v>
      </c>
    </row>
    <row r="32">
      <c r="C32" s="0" t="s">
        <v>76</v>
      </c>
    </row>
    <row r="33">
      <c r="C33" s="0" t="s">
        <v>77</v>
      </c>
    </row>
    <row r="35">
      <c r="A35" s="0">
        <v>6</v>
      </c>
      <c r="B35" s="0" t="s">
        <v>78</v>
      </c>
    </row>
    <row r="36">
      <c r="C36" s="0" t="s">
        <v>79</v>
      </c>
    </row>
    <row r="37">
      <c r="C37" s="0" t="s">
        <v>80</v>
      </c>
    </row>
    <row r="38">
      <c r="C38" s="0" t="s">
        <v>81</v>
      </c>
    </row>
    <row r="39">
      <c r="C39" s="0" t="s">
        <v>82</v>
      </c>
    </row>
    <row r="41">
      <c r="A41" s="0">
        <v>7</v>
      </c>
      <c r="B41" s="0" t="s">
        <v>83</v>
      </c>
    </row>
    <row r="42">
      <c r="C42" s="0" t="s">
        <v>84</v>
      </c>
    </row>
    <row r="43">
      <c r="C43" s="0" t="s">
        <v>85</v>
      </c>
    </row>
    <row r="44">
      <c r="C44" s="0" t="s">
        <v>86</v>
      </c>
    </row>
    <row r="45">
      <c r="C45" s="0" t="s">
        <v>87</v>
      </c>
    </row>
    <row r="47">
      <c r="A47" s="0">
        <v>8</v>
      </c>
      <c r="B47" s="0" t="s">
        <v>88</v>
      </c>
    </row>
    <row r="48">
      <c r="C48" s="0" t="s">
        <v>89</v>
      </c>
    </row>
    <row r="49">
      <c r="C49" s="0" t="s">
        <v>90</v>
      </c>
    </row>
    <row r="50">
      <c r="C50" s="0" t="s">
        <v>91</v>
      </c>
    </row>
    <row r="51">
      <c r="C51" s="0" t="s">
        <v>92</v>
      </c>
    </row>
    <row r="53">
      <c r="A53" s="0">
        <v>9</v>
      </c>
      <c r="B53" s="0" t="s">
        <v>93</v>
      </c>
    </row>
    <row r="54" ht="15">
      <c r="C54" s="0" t="s">
        <v>94</v>
      </c>
    </row>
    <row r="55" ht="34.8">
      <c r="C55" s="0" t="s">
        <v>95</v>
      </c>
      <c r="F55" s="68" t="s">
        <v>96</v>
      </c>
    </row>
    <row r="56" ht="52.2">
      <c r="F56" s="69" t="s">
        <v>97</v>
      </c>
    </row>
    <row r="57" ht="52.2">
      <c r="F57" s="69" t="s">
        <v>98</v>
      </c>
    </row>
    <row r="58" ht="52.2">
      <c r="A58" s="0">
        <v>10</v>
      </c>
      <c r="B58" s="0" t="s">
        <v>99</v>
      </c>
      <c r="F58" s="69" t="s">
        <v>100</v>
      </c>
    </row>
    <row r="59" ht="35.4">
      <c r="F59" s="70" t="s">
        <v>101</v>
      </c>
    </row>
    <row r="60" ht="52.8">
      <c r="A60" s="0">
        <v>11</v>
      </c>
      <c r="B60" s="0" t="s">
        <v>102</v>
      </c>
      <c r="F60" s="71" t="s">
        <v>103</v>
      </c>
    </row>
    <row r="61" ht="69.6">
      <c r="F61" s="69" t="s">
        <v>104</v>
      </c>
    </row>
    <row r="62" ht="34.8">
      <c r="A62" s="0">
        <v>12</v>
      </c>
      <c r="B62" s="0" t="s">
        <v>105</v>
      </c>
      <c r="F62" s="69" t="s">
        <v>106</v>
      </c>
    </row>
    <row r="63" ht="18">
      <c r="F63" s="72" t="s">
        <v>107</v>
      </c>
    </row>
    <row r="64" ht="69.6">
      <c r="A64" s="0">
        <v>13</v>
      </c>
      <c r="B64" s="0" t="s">
        <v>108</v>
      </c>
      <c r="F64" s="68" t="s">
        <v>109</v>
      </c>
    </row>
    <row r="65" ht="69.6">
      <c r="F65" s="69" t="s">
        <v>110</v>
      </c>
    </row>
    <row r="66" ht="52.2">
      <c r="A66" s="0">
        <v>14</v>
      </c>
      <c r="B66" s="0" t="s">
        <v>111</v>
      </c>
      <c r="F66" s="69" t="s">
        <v>112</v>
      </c>
    </row>
    <row r="67" ht="35.4">
      <c r="F67" s="72" t="s">
        <v>113</v>
      </c>
    </row>
    <row r="68" ht="35.4">
      <c r="A68" s="0">
        <v>15</v>
      </c>
      <c r="B68" s="0" t="s">
        <v>114</v>
      </c>
      <c r="F68" s="73" t="s">
        <v>115</v>
      </c>
    </row>
  </sheetData>
  <pageMargins left="0.7" right="0.7" top="0.75" bottom="0.75" header="0.3" footer="0.3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A54D5-DDE6-43DE-8AFD-D2EB15B4E800}">
  <sheetPr codeName="Sheet4">
    <tabColor theme="7" tint="0.59999389629810485"/>
  </sheetPr>
  <dimension ref="B3:AS25"/>
  <sheetViews>
    <sheetView tabSelected="1" workbookViewId="0">
      <selection activeCell="J5" sqref="J5"/>
    </sheetView>
  </sheetViews>
  <sheetFormatPr defaultRowHeight="14.4" x14ac:dyDescent="0.3"/>
  <cols>
    <col min="2" max="2" width="11.21875" customWidth="1" style="261"/>
    <col min="3" max="3" width="12.109375" customWidth="1"/>
    <col min="4" max="4" width="11.88671875" customWidth="1"/>
    <col min="5" max="5" width="11.21875" customWidth="1"/>
    <col min="6" max="7" width="11.6640625" customWidth="1"/>
    <col min="8" max="8" width="12.109375" customWidth="1"/>
    <col min="9" max="9" width="12.88671875" customWidth="1"/>
    <col min="10" max="10" width="11.6640625" customWidth="1"/>
    <col min="11" max="11" width="9.88671875" customWidth="1"/>
  </cols>
  <sheetData>
    <row r="3" ht="28.8">
      <c r="B3" s="261" t="s">
        <v>6</v>
      </c>
      <c r="C3" s="0" t="s">
        <v>11</v>
      </c>
      <c r="D3" s="0" t="s">
        <v>3</v>
      </c>
      <c r="E3" s="0" t="s">
        <v>5</v>
      </c>
      <c r="F3" s="0" t="s">
        <v>116</v>
      </c>
      <c r="G3" s="0" t="s">
        <v>117</v>
      </c>
      <c r="H3" s="0" t="s">
        <v>118</v>
      </c>
      <c r="I3" s="0" t="s">
        <v>119</v>
      </c>
      <c r="J3" s="0" t="s">
        <v>120</v>
      </c>
      <c r="K3" s="0" t="s">
        <v>121</v>
      </c>
      <c r="L3" s="0" t="s">
        <v>122</v>
      </c>
      <c r="M3" s="0" t="s">
        <v>123</v>
      </c>
      <c r="N3" s="0" t="s">
        <v>124</v>
      </c>
      <c r="O3" s="0" t="s">
        <v>125</v>
      </c>
      <c r="P3" s="0" t="s">
        <v>126</v>
      </c>
      <c r="Q3" s="0" t="s">
        <v>127</v>
      </c>
      <c r="R3" s="0" t="s">
        <v>128</v>
      </c>
      <c r="S3" s="0" t="s">
        <v>129</v>
      </c>
      <c r="T3" s="0" t="s">
        <v>130</v>
      </c>
      <c r="U3" s="0" t="s">
        <v>131</v>
      </c>
      <c r="V3" s="0" t="s">
        <v>132</v>
      </c>
      <c r="W3" s="0" t="s">
        <v>133</v>
      </c>
      <c r="X3" s="0" t="s">
        <v>134</v>
      </c>
      <c r="Y3" s="0" t="s">
        <v>135</v>
      </c>
      <c r="Z3" s="0" t="s">
        <v>136</v>
      </c>
      <c r="AA3" s="0" t="s">
        <v>137</v>
      </c>
      <c r="AB3" s="0" t="s">
        <v>138</v>
      </c>
      <c r="AC3" s="0" t="s">
        <v>139</v>
      </c>
      <c r="AD3" s="0" t="s">
        <v>140</v>
      </c>
      <c r="AE3" s="0" t="s">
        <v>141</v>
      </c>
      <c r="AF3" s="0" t="s">
        <v>142</v>
      </c>
      <c r="AG3" s="0" t="s">
        <v>143</v>
      </c>
      <c r="AH3" s="0" t="s">
        <v>144</v>
      </c>
      <c r="AI3" s="0" t="s">
        <v>145</v>
      </c>
      <c r="AJ3" s="0" t="s">
        <v>146</v>
      </c>
      <c r="AK3" s="0" t="s">
        <v>147</v>
      </c>
      <c r="AL3" s="0" t="s">
        <v>148</v>
      </c>
      <c r="AM3" s="0" t="s">
        <v>149</v>
      </c>
      <c r="AN3" s="0" t="s">
        <v>150</v>
      </c>
      <c r="AO3" s="0" t="s">
        <v>151</v>
      </c>
      <c r="AP3" s="0" t="s">
        <v>152</v>
      </c>
      <c r="AQ3" s="0" t="s">
        <v>153</v>
      </c>
      <c r="AR3" s="0" t="s">
        <v>154</v>
      </c>
      <c r="AS3" s="0" t="s">
        <v>155</v>
      </c>
    </row>
    <row r="8">
      <c r="AH8" s="29"/>
    </row>
    <row r="9">
      <c r="AH9" s="29"/>
    </row>
    <row r="10">
      <c r="AH10" s="29"/>
    </row>
    <row r="11">
      <c r="D11" s="29"/>
      <c r="U11" s="29"/>
      <c r="AH11" s="29"/>
    </row>
    <row r="12">
      <c r="D12" s="29"/>
      <c r="U12" s="29"/>
      <c r="AH12" s="29"/>
    </row>
    <row r="13">
      <c r="D13" s="29"/>
      <c r="U13" s="29"/>
      <c r="AH13" s="29"/>
    </row>
    <row r="14">
      <c r="D14" s="29"/>
      <c r="U14" s="29"/>
      <c r="AH14" s="29"/>
    </row>
    <row r="15">
      <c r="D15" s="29"/>
      <c r="U15" s="29"/>
      <c r="AH15" s="29"/>
    </row>
    <row r="16">
      <c r="D16" s="29"/>
      <c r="U16" s="29"/>
      <c r="AH16" s="29"/>
    </row>
    <row r="17">
      <c r="D17" s="29"/>
      <c r="U17" s="29"/>
      <c r="AH17" s="29"/>
    </row>
    <row r="18">
      <c r="D18" s="29"/>
      <c r="U18" s="29"/>
      <c r="AH18" s="29"/>
    </row>
    <row r="19">
      <c r="D19" s="29"/>
      <c r="U19" s="29"/>
      <c r="AH19" s="49"/>
    </row>
    <row r="20">
      <c r="D20" s="29"/>
      <c r="U20" s="29"/>
      <c r="AH20" s="29"/>
    </row>
    <row r="21">
      <c r="D21" s="29"/>
      <c r="U21" s="29"/>
      <c r="AH21" s="29"/>
    </row>
    <row r="22">
      <c r="D22" s="49"/>
      <c r="U22" s="49"/>
      <c r="AH22" s="7"/>
    </row>
    <row r="23">
      <c r="D23" s="29"/>
      <c r="U23" s="29"/>
    </row>
    <row r="24">
      <c r="D24" s="29"/>
      <c r="U24" s="29"/>
    </row>
    <row r="25">
      <c r="D25" s="7"/>
      <c r="U25" s="7"/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5:F29"/>
  <sheetViews>
    <sheetView zoomScale="99" zoomScaleNormal="99" workbookViewId="0">
      <selection activeCell="B40" sqref="B40"/>
    </sheetView>
  </sheetViews>
  <sheetFormatPr defaultRowHeight="14.4" x14ac:dyDescent="0.3"/>
  <cols>
    <col min="2" max="2" width="31" customWidth="1"/>
    <col min="3" max="3" width="32" customWidth="1"/>
    <col min="4" max="4" width="32.6640625" customWidth="1"/>
    <col min="5" max="5" width="20.44140625" customWidth="1"/>
    <col min="6" max="6" width="15.6640625" customWidth="1"/>
    <col min="7" max="7" width="13.33203125" customWidth="1"/>
    <col min="8" max="8" width="15.6640625" customWidth="1"/>
    <col min="9" max="9" width="13.33203125" customWidth="1"/>
    <col min="10" max="10" width="12.6640625" customWidth="1"/>
    <col min="11" max="11" width="11.33203125" customWidth="1"/>
  </cols>
  <sheetData>
    <row r="5">
      <c r="B5" s="61" t="s">
        <v>11</v>
      </c>
      <c r="C5" s="61" t="s">
        <v>12</v>
      </c>
      <c r="D5" s="61" t="s">
        <v>13</v>
      </c>
    </row>
    <row r="6">
      <c r="B6" s="0" t="s">
        <v>2</v>
      </c>
      <c r="C6" s="0" t="s">
        <v>14</v>
      </c>
      <c r="D6" s="0" t="s">
        <v>4</v>
      </c>
    </row>
    <row r="7">
      <c r="B7" s="0" t="s">
        <v>15</v>
      </c>
      <c r="C7" s="0" t="s">
        <v>16</v>
      </c>
      <c r="D7" s="0" t="s">
        <v>17</v>
      </c>
    </row>
    <row r="8">
      <c r="B8" s="0" t="s">
        <v>18</v>
      </c>
      <c r="C8" s="0" t="s">
        <v>19</v>
      </c>
      <c r="D8" s="0" t="s">
        <v>20</v>
      </c>
    </row>
    <row r="9">
      <c r="B9" s="0" t="s">
        <v>21</v>
      </c>
      <c r="C9" s="0" t="s">
        <v>22</v>
      </c>
      <c r="D9" s="0" t="s">
        <v>23</v>
      </c>
    </row>
    <row r="12">
      <c r="F12" s="0">
        <f>4*2*3*12</f>
        <v>288</v>
      </c>
    </row>
    <row r="13">
      <c r="C13" s="0" t="str">
        <f>VLOOKUP(Input!F10,Dropdowns!B6:D9,2,0)</f>
        <v>End of Period Processing</v>
      </c>
    </row>
    <row r="14">
      <c r="C14" s="0" t="str">
        <f>VLOOKUP(Input!F10,Dropdowns!B6:D9,3,0)</f>
        <v>Reduce Risk and Fraud</v>
      </c>
    </row>
    <row r="17">
      <c r="B17" s="61" t="s">
        <v>6</v>
      </c>
    </row>
    <row r="18">
      <c r="B18" s="0" t="s">
        <v>24</v>
      </c>
      <c r="D18" s="62"/>
    </row>
    <row r="19">
      <c r="B19" s="0" t="s">
        <v>7</v>
      </c>
      <c r="D19" s="62"/>
    </row>
    <row r="20">
      <c r="B20" s="0" t="s">
        <v>25</v>
      </c>
      <c r="D20" s="62"/>
    </row>
    <row r="21">
      <c r="D21" s="62"/>
    </row>
    <row r="22">
      <c r="B22" s="61" t="s">
        <v>5</v>
      </c>
      <c r="D22" s="62"/>
    </row>
    <row r="23">
      <c r="B23" s="0" t="s">
        <v>26</v>
      </c>
      <c r="D23" s="62"/>
    </row>
    <row r="24">
      <c r="B24" s="0" t="s">
        <v>27</v>
      </c>
      <c r="D24" s="62"/>
    </row>
    <row r="25">
      <c r="B25" s="0" t="s">
        <v>28</v>
      </c>
      <c r="D25" s="62"/>
    </row>
    <row r="26">
      <c r="D26" s="62"/>
    </row>
    <row r="27">
      <c r="D27" s="62"/>
    </row>
    <row r="28">
      <c r="D28" s="62"/>
    </row>
    <row r="29">
      <c r="D29" s="62"/>
    </row>
  </sheetData>
  <pageMargins left="0.7" right="0.7" top="0.75" bottom="0.75" header="0.3" footer="0.3"/>
  <pageSetup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8:H19"/>
  <sheetViews>
    <sheetView showGridLines="0" topLeftCell="A5" workbookViewId="0">
      <selection activeCell="G30" sqref="G30"/>
    </sheetView>
  </sheetViews>
  <sheetFormatPr defaultRowHeight="14.4" x14ac:dyDescent="0.3"/>
  <cols>
    <col min="2" max="2" width="14.33203125" customWidth="1"/>
    <col min="3" max="3" width="13.6640625" customWidth="1"/>
    <col min="4" max="4" width="23.109375" customWidth="1"/>
    <col min="5" max="5" width="1.88671875" customWidth="1"/>
    <col min="6" max="6" width="38.109375" customWidth="1"/>
    <col min="7" max="10" width="10.5546875" customWidth="1"/>
  </cols>
  <sheetData>
    <row r="8" ht="20.4">
      <c r="D8" s="292" t="s">
        <v>0</v>
      </c>
      <c r="E8" s="292"/>
      <c r="F8" s="292"/>
      <c r="G8" s="292"/>
    </row>
    <row r="9" ht="15.6"/>
    <row r="10" ht="18.6">
      <c r="D10" s="99" t="s">
        <v>1</v>
      </c>
      <c r="E10" s="93"/>
      <c r="F10" s="94" t="s">
        <v>2</v>
      </c>
    </row>
    <row r="11" ht="7.95" customHeight="1">
      <c r="D11" s="99"/>
      <c r="E11" s="93"/>
      <c r="F11" s="95"/>
    </row>
    <row r="12" ht="18.6">
      <c r="D12" s="99" t="s">
        <v>3</v>
      </c>
      <c r="E12" s="93"/>
      <c r="F12" s="94" t="s">
        <v>4</v>
      </c>
    </row>
    <row r="13" ht="8.4" customHeight="1">
      <c r="D13" s="99"/>
      <c r="E13" s="93"/>
      <c r="F13" s="95"/>
    </row>
    <row r="14" ht="18.6">
      <c r="D14" s="99" t="s">
        <v>5</v>
      </c>
      <c r="E14" s="93"/>
      <c r="F14" s="96">
        <v>1256577</v>
      </c>
      <c r="H14" s="62"/>
    </row>
    <row r="15" ht="7.95" customHeight="1">
      <c r="D15" s="99"/>
      <c r="E15" s="93"/>
      <c r="F15" s="97"/>
    </row>
    <row r="16" ht="18.6" customHeight="1">
      <c r="D16" s="99" t="s">
        <v>6</v>
      </c>
      <c r="E16" s="93"/>
      <c r="F16" s="94" t="s">
        <v>7</v>
      </c>
    </row>
    <row r="17" ht="11.4" customHeight="1">
      <c r="D17" s="99"/>
      <c r="E17" s="93"/>
    </row>
    <row r="18" ht="18.6" customHeight="1">
      <c r="D18" s="99" t="s">
        <v>8</v>
      </c>
      <c r="E18" s="93"/>
      <c r="F18" s="98" t="str">
        <f>IF(F14&lt;=1257800,"Small",IF(AND(F14&gt;1257800,F14&lt;=2034240),"Medium", "Large"))</f>
        <v>Small</v>
      </c>
      <c r="G18" s="92" t="s">
        <v>9</v>
      </c>
    </row>
    <row r="19" ht="19.8">
      <c r="D19" s="99" t="s">
        <v>10</v>
      </c>
      <c r="F19" s="125" t="str">
        <f>IF(F14&lt;=1105382,"Small",IF(AND(F14&gt;1105382,F14&lt;=1428221),"Medium","Large"))</f>
        <v>Medium</v>
      </c>
    </row>
  </sheetData>
  <mergeCells>
    <mergeCell ref="D8:G8"/>
  </mergeCell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200-000000000000}">
          <x14:formula1>
            <xm:f>Dropdowns!$B$6:$B$9</xm:f>
          </x14:formula1>
          <xm:sqref>F10:F11</xm:sqref>
        </x14:dataValidation>
        <x14:dataValidation type="list" allowBlank="1" showInputMessage="1" showErrorMessage="1" xr:uid="{00000000-0002-0000-0200-000001000000}">
          <x14:formula1>
            <xm:f>Dropdowns!$C$13:$C$14</xm:f>
          </x14:formula1>
          <xm:sqref>F12:F13</xm:sqref>
        </x14:dataValidation>
        <x14:dataValidation type="list" allowBlank="1" showInputMessage="1" showErrorMessage="1" xr:uid="{00000000-0002-0000-0200-000002000000}">
          <x14:formula1>
            <xm:f>Dropdowns!$B$18:$B$21</xm:f>
          </x14:formula1>
          <xm:sqref>F16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1C3BD-90F9-4019-B1B0-E5DF1E00DB4E}">
  <sheetPr codeName="Sheet5">
    <tabColor theme="9" tint="0.59999389629810485"/>
  </sheetPr>
  <dimension ref="A2:Y208"/>
  <sheetViews>
    <sheetView topLeftCell="G19" zoomScaleNormal="100" workbookViewId="0">
      <selection activeCell="V43" sqref="V43:V44"/>
    </sheetView>
  </sheetViews>
  <sheetFormatPr defaultRowHeight="14.4" x14ac:dyDescent="0.3"/>
  <cols>
    <col min="1" max="1" width="11.5546875" customWidth="1"/>
    <col min="2" max="2" width="12.6640625" customWidth="1"/>
    <col min="3" max="3" width="8.5546875" customWidth="1"/>
    <col min="4" max="4" width="7.109375" customWidth="1"/>
    <col min="5" max="5" width="15.6640625" customWidth="1"/>
    <col min="6" max="6" width="15.6640625" customWidth="1"/>
    <col min="7" max="7" width="15.6640625" customWidth="1"/>
    <col min="8" max="8" width="15.6640625" customWidth="1"/>
    <col min="9" max="9" width="41" customWidth="1"/>
    <col min="10" max="10" width="13.33203125" customWidth="1"/>
    <col min="11" max="11" width="15.5546875" customWidth="1"/>
    <col min="12" max="12" width="19" customWidth="1"/>
    <col min="13" max="13" width="15.5546875" customWidth="1"/>
    <col min="14" max="14" width="15.5546875" customWidth="1"/>
    <col min="15" max="15" width="15.5546875" customWidth="1"/>
    <col min="16" max="16" width="15.5546875" customWidth="1"/>
    <col min="17" max="17" width="15.5546875" customWidth="1"/>
    <col min="18" max="18" width="15.5546875" customWidth="1"/>
    <col min="19" max="19" width="15.5546875" customWidth="1"/>
    <col min="21" max="21" bestFit="1" width="13.5546875" customWidth="1"/>
    <col min="22" max="22" width="15.33203125" customWidth="1"/>
    <col min="23" max="23" width="13.88671875" customWidth="1"/>
    <col min="24" max="24" width="11.88671875" customWidth="1"/>
    <col min="25" max="25" bestFit="1" width="20.21875" customWidth="1"/>
  </cols>
  <sheetData>
    <row r="2">
      <c r="L2" s="62"/>
      <c r="M2" s="62"/>
      <c r="N2" s="62"/>
      <c r="O2" s="62"/>
      <c r="P2" s="62"/>
    </row>
    <row r="3" ht="15" customHeight="1">
      <c r="L3" s="122"/>
      <c r="M3" s="122"/>
      <c r="N3" s="122"/>
      <c r="O3" s="122"/>
      <c r="P3" s="122"/>
      <c r="Q3" s="122"/>
      <c r="R3" s="122"/>
      <c r="S3" s="122"/>
    </row>
    <row r="4" ht="15" customHeight="1">
      <c r="I4" s="145" t="s">
        <v>188</v>
      </c>
      <c r="J4" s="155"/>
      <c r="K4" s="155"/>
      <c r="L4" s="143"/>
      <c r="M4" s="144"/>
      <c r="O4" s="122"/>
      <c r="P4" s="122"/>
      <c r="Q4" s="122"/>
      <c r="R4" s="122"/>
      <c r="S4" s="122"/>
    </row>
    <row r="5" ht="15" customHeight="1">
      <c r="I5" s="8" t="s">
        <v>11</v>
      </c>
      <c r="J5" s="7"/>
      <c r="K5" s="7"/>
      <c r="L5" s="293" t="str">
        <f>Input!F10</f>
        <v>Finance</v>
      </c>
      <c r="M5" s="294"/>
      <c r="N5" s="122"/>
      <c r="O5" s="122"/>
      <c r="P5" s="122"/>
      <c r="Q5" s="122"/>
      <c r="R5" s="122"/>
      <c r="S5" s="122"/>
    </row>
    <row r="6" ht="15" customHeight="1">
      <c r="I6" s="8" t="s">
        <v>189</v>
      </c>
      <c r="J6" s="7"/>
      <c r="K6" s="7"/>
      <c r="L6" s="293" t="str">
        <f>Input!F12</f>
        <v>Reduce Risk and Fraud</v>
      </c>
      <c r="M6" s="294"/>
      <c r="N6" s="122"/>
      <c r="O6" s="122"/>
      <c r="P6" s="122"/>
      <c r="Q6" s="122"/>
      <c r="R6" s="122"/>
      <c r="S6" s="122"/>
    </row>
    <row r="7" ht="15" customHeight="1">
      <c r="I7" s="8" t="s">
        <v>5</v>
      </c>
      <c r="J7" s="7"/>
      <c r="K7" s="7"/>
      <c r="L7" s="295">
        <f>Input!F14</f>
        <v>1256577</v>
      </c>
      <c r="M7" s="296"/>
      <c r="N7" s="122"/>
      <c r="O7" s="122"/>
      <c r="P7" s="122"/>
      <c r="Q7" s="122"/>
      <c r="R7" s="122"/>
      <c r="S7" s="122"/>
    </row>
    <row r="8" ht="15" customHeight="1">
      <c r="I8" s="8" t="s">
        <v>6</v>
      </c>
      <c r="J8" s="7"/>
      <c r="K8" s="7"/>
      <c r="L8" s="293" t="str">
        <f>Input!F16</f>
        <v>IBM DB2 Analytics Accelerator</v>
      </c>
      <c r="M8" s="294"/>
      <c r="N8" s="122"/>
      <c r="O8" s="122"/>
      <c r="P8" s="122"/>
      <c r="Q8" s="122"/>
      <c r="R8" s="122"/>
      <c r="S8" s="122"/>
    </row>
    <row r="9" ht="15" customHeight="1">
      <c r="I9" s="16"/>
      <c r="J9" s="11"/>
      <c r="K9" s="11"/>
      <c r="L9" s="137"/>
      <c r="M9" s="138"/>
      <c r="N9" s="122"/>
      <c r="O9" s="122"/>
      <c r="P9" s="122"/>
      <c r="Q9" s="122"/>
      <c r="R9" s="122"/>
      <c r="S9" s="122"/>
    </row>
    <row r="10" ht="16.2" customHeight="1">
      <c r="I10" s="7"/>
      <c r="J10" s="7"/>
      <c r="K10" s="7"/>
      <c r="L10" s="136"/>
      <c r="M10" s="136"/>
      <c r="N10" s="122"/>
      <c r="O10" s="122"/>
      <c r="P10" s="122"/>
      <c r="Q10" s="122"/>
      <c r="R10" s="122"/>
      <c r="S10" s="122"/>
    </row>
    <row r="11" ht="15">
      <c r="I11" s="179" t="s">
        <v>5</v>
      </c>
      <c r="J11" s="180">
        <f>L7</f>
        <v>1256577</v>
      </c>
    </row>
    <row r="12" ht="15">
      <c r="U12" s="58"/>
    </row>
    <row r="13">
      <c r="I13" s="108"/>
      <c r="J13" s="303" t="s">
        <v>190</v>
      </c>
      <c r="K13" s="304"/>
      <c r="L13" s="297" t="s">
        <v>191</v>
      </c>
      <c r="M13" s="298"/>
      <c r="N13" s="309" t="s">
        <v>192</v>
      </c>
      <c r="O13" s="309"/>
      <c r="P13" s="297" t="s">
        <v>193</v>
      </c>
      <c r="Q13" s="298"/>
      <c r="R13" s="305" t="s">
        <v>194</v>
      </c>
      <c r="S13" s="306"/>
      <c r="U13" s="58"/>
    </row>
    <row r="14">
      <c r="I14" s="109" t="s">
        <v>195</v>
      </c>
      <c r="J14" s="109" t="s">
        <v>168</v>
      </c>
      <c r="K14" s="109" t="s">
        <v>169</v>
      </c>
      <c r="L14" s="110" t="s">
        <v>168</v>
      </c>
      <c r="M14" s="111" t="s">
        <v>169</v>
      </c>
      <c r="N14" s="112" t="s">
        <v>168</v>
      </c>
      <c r="O14" s="112" t="s">
        <v>169</v>
      </c>
      <c r="P14" s="110" t="s">
        <v>168</v>
      </c>
      <c r="Q14" s="111" t="s">
        <v>169</v>
      </c>
      <c r="R14" s="110" t="s">
        <v>168</v>
      </c>
      <c r="S14" s="111" t="s">
        <v>169</v>
      </c>
      <c r="U14" s="74"/>
    </row>
    <row r="15">
      <c r="I15" s="124"/>
      <c r="J15" s="281"/>
      <c r="K15" s="281"/>
      <c r="L15" s="264"/>
      <c r="M15" s="264"/>
      <c r="N15" s="264"/>
      <c r="O15" s="264"/>
      <c r="P15" s="264"/>
      <c r="Q15" s="263"/>
      <c r="R15" s="262"/>
      <c r="S15" s="263"/>
      <c r="U15" s="58"/>
      <c r="V15" s="58"/>
      <c r="W15" s="58"/>
      <c r="X15" s="58"/>
    </row>
    <row r="16">
      <c r="B16" s="126"/>
      <c r="C16" s="126"/>
      <c r="D16" s="126"/>
      <c r="E16" s="126"/>
      <c r="F16" s="126"/>
      <c r="G16" s="126"/>
      <c r="H16" s="126"/>
      <c r="I16" s="8" t="s">
        <v>170</v>
      </c>
      <c r="J16" s="282">
        <f>L16*(J19/L19)</f>
        <v>3.4380853393122282</v>
      </c>
      <c r="K16" s="282">
        <f>M16*(K19/M19)</f>
        <v>0.58166891947681432</v>
      </c>
      <c r="L16" s="283">
        <v>3.8328921391099158</v>
      </c>
      <c r="M16" s="283">
        <v>0.64846390039673518</v>
      </c>
      <c r="N16" s="283">
        <v>4.7874036055180813</v>
      </c>
      <c r="O16" s="283">
        <v>1.2330045449005576</v>
      </c>
      <c r="P16" s="283">
        <v>6.0437993524451086</v>
      </c>
      <c r="Q16" s="284">
        <v>1.8068979662263354</v>
      </c>
      <c r="R16" s="285">
        <f>P16*(R19/P19)</f>
        <v>6.5362782048230486</v>
      </c>
      <c r="S16" s="284">
        <f>Q16*(S19/Q19)</f>
        <v>1.9541330057898467</v>
      </c>
      <c r="U16" s="57"/>
      <c r="V16" s="62"/>
      <c r="W16" s="62"/>
      <c r="X16" s="62"/>
    </row>
    <row r="17">
      <c r="B17" s="127"/>
      <c r="C17" s="127"/>
      <c r="D17" s="127"/>
      <c r="E17" s="127"/>
      <c r="F17" s="127"/>
      <c r="G17" s="127"/>
      <c r="H17" s="127"/>
      <c r="I17" s="8" t="s">
        <v>196</v>
      </c>
      <c r="J17" s="105">
        <v>4.72</v>
      </c>
      <c r="K17" s="105"/>
      <c r="L17" s="286">
        <v>5.6323161039932161</v>
      </c>
      <c r="M17" s="286">
        <v>16.2628820330957</v>
      </c>
      <c r="N17" s="286">
        <v>5.1943392091916571</v>
      </c>
      <c r="O17" s="286">
        <v>12.774301245419139</v>
      </c>
      <c r="P17" s="286">
        <v>4.518656458469283</v>
      </c>
      <c r="Q17" s="287">
        <v>10.430554180916278</v>
      </c>
      <c r="R17" s="288"/>
      <c r="S17" s="287"/>
      <c r="U17" s="62"/>
      <c r="V17" s="58"/>
      <c r="W17" s="60"/>
      <c r="X17" s="58"/>
    </row>
    <row r="18">
      <c r="G18" s="0">
        <f>600000*(M19/L19)</f>
        <v>858459.26147406187</v>
      </c>
      <c r="I18" s="8"/>
      <c r="J18" s="105"/>
      <c r="K18" s="105"/>
      <c r="L18" s="286"/>
      <c r="M18" s="286"/>
      <c r="N18" s="286"/>
      <c r="O18" s="286"/>
      <c r="P18" s="286"/>
      <c r="Q18" s="287"/>
      <c r="R18" s="288"/>
      <c r="S18" s="287"/>
      <c r="U18" s="10"/>
      <c r="V18" s="62"/>
      <c r="W18" s="58"/>
    </row>
    <row r="19">
      <c r="F19" s="60">
        <f>(H29-F29)/H29</f>
        <v>0.13498321556207529</v>
      </c>
      <c r="I19" s="8" t="s">
        <v>5</v>
      </c>
      <c r="J19" s="106">
        <v>600000</v>
      </c>
      <c r="K19" s="106">
        <f>J19*(M19/L19)</f>
        <v>858459.26147406187</v>
      </c>
      <c r="L19" s="106">
        <v>668900</v>
      </c>
      <c r="M19" s="106">
        <v>957039</v>
      </c>
      <c r="N19" s="106">
        <v>1257800</v>
      </c>
      <c r="O19" s="106">
        <v>1106382</v>
      </c>
      <c r="P19" s="106">
        <v>2034240</v>
      </c>
      <c r="Q19" s="107">
        <v>1428221</v>
      </c>
      <c r="R19" s="266">
        <v>2200000</v>
      </c>
      <c r="S19" s="107">
        <f>Q19*(R19/P19)</f>
        <v>1544599.5556079911</v>
      </c>
      <c r="U19" s="62"/>
      <c r="V19" s="62"/>
      <c r="W19" s="123"/>
    </row>
    <row r="20">
      <c r="I20" s="8"/>
      <c r="J20" s="105"/>
      <c r="K20" s="105"/>
      <c r="L20" s="106"/>
      <c r="M20" s="106"/>
      <c r="N20" s="106"/>
      <c r="O20" s="106"/>
      <c r="P20" s="106"/>
      <c r="Q20" s="107"/>
      <c r="R20" s="266"/>
      <c r="S20" s="107"/>
      <c r="V20" s="62">
        <v>668900</v>
      </c>
      <c r="W20" s="58"/>
    </row>
    <row r="21">
      <c r="I21" s="8" t="s">
        <v>197</v>
      </c>
      <c r="J21" s="105"/>
      <c r="K21" s="105"/>
      <c r="L21" s="106">
        <v>8140990.3764973814</v>
      </c>
      <c r="M21" s="106">
        <v>7051033.3264818089</v>
      </c>
      <c r="N21" s="106">
        <v>14413532.151984945</v>
      </c>
      <c r="O21" s="106">
        <v>12010631.17679482</v>
      </c>
      <c r="P21" s="106">
        <v>24972484.683694191</v>
      </c>
      <c r="Q21" s="107">
        <v>20687919.228184681</v>
      </c>
      <c r="R21" s="266"/>
      <c r="S21" s="107"/>
      <c r="V21" s="59">
        <v>399378</v>
      </c>
      <c r="W21" s="58"/>
      <c r="X21" s="60"/>
      <c r="Y21" s="58">
        <f>W21*X21</f>
        <v>0</v>
      </c>
    </row>
    <row r="22" ht="15">
      <c r="G22" s="60">
        <f>J11/M19</f>
        <v>1.3129841103654083</v>
      </c>
      <c r="I22" s="16" t="s">
        <v>198</v>
      </c>
      <c r="J22" s="274"/>
      <c r="K22" s="274"/>
      <c r="L22" s="271">
        <v>1684496.6</v>
      </c>
      <c r="M22" s="271">
        <v>4277335.6</v>
      </c>
      <c r="N22" s="271">
        <v>2490500.6</v>
      </c>
      <c r="O22" s="271">
        <v>5378686.4</v>
      </c>
      <c r="P22" s="271">
        <v>3545314.6</v>
      </c>
      <c r="Q22" s="272">
        <v>7370385.2</v>
      </c>
      <c r="R22" s="270"/>
      <c r="S22" s="272"/>
      <c r="U22" s="62"/>
      <c r="V22" s="59">
        <v>205406.20000000004</v>
      </c>
      <c r="W22" s="62"/>
    </row>
    <row r="23">
      <c r="U23" s="62"/>
      <c r="V23" s="59">
        <v>1273684.2</v>
      </c>
      <c r="W23" s="62"/>
    </row>
    <row r="24" ht="15">
      <c r="U24" s="60"/>
      <c r="V24" s="289">
        <v>216000</v>
      </c>
      <c r="W24" s="60"/>
    </row>
    <row r="25">
      <c r="E25" s="301" t="s">
        <v>199</v>
      </c>
      <c r="F25" s="302"/>
      <c r="G25" s="307" t="s">
        <v>199</v>
      </c>
      <c r="H25" s="307"/>
      <c r="I25" s="108"/>
      <c r="J25" s="303" t="s">
        <v>200</v>
      </c>
      <c r="K25" s="308"/>
      <c r="L25" s="297" t="s">
        <v>191</v>
      </c>
      <c r="M25" s="298"/>
      <c r="N25" s="309" t="s">
        <v>192</v>
      </c>
      <c r="O25" s="309"/>
      <c r="P25" s="297" t="s">
        <v>193</v>
      </c>
      <c r="Q25" s="298"/>
      <c r="R25" s="299" t="s">
        <v>201</v>
      </c>
      <c r="S25" s="300"/>
      <c r="U25" s="58"/>
      <c r="V25" s="59">
        <v>997500</v>
      </c>
      <c r="W25" s="58"/>
    </row>
    <row r="26">
      <c r="A26" s="171">
        <f>J11</f>
        <v>1256577</v>
      </c>
      <c r="E26" s="181" t="s">
        <v>168</v>
      </c>
      <c r="F26" s="182" t="s">
        <v>169</v>
      </c>
      <c r="G26" s="182" t="s">
        <v>168</v>
      </c>
      <c r="H26" s="182" t="s">
        <v>169</v>
      </c>
      <c r="I26" s="109" t="s">
        <v>202</v>
      </c>
      <c r="J26" s="109" t="s">
        <v>168</v>
      </c>
      <c r="K26" s="109" t="s">
        <v>169</v>
      </c>
      <c r="L26" s="110" t="s">
        <v>168</v>
      </c>
      <c r="M26" s="111" t="s">
        <v>169</v>
      </c>
      <c r="N26" s="112" t="s">
        <v>168</v>
      </c>
      <c r="O26" s="112" t="s">
        <v>169</v>
      </c>
      <c r="P26" s="110" t="s">
        <v>168</v>
      </c>
      <c r="Q26" s="111" t="s">
        <v>169</v>
      </c>
      <c r="R26" s="112" t="s">
        <v>168</v>
      </c>
      <c r="S26" s="111" t="s">
        <v>169</v>
      </c>
      <c r="U26" s="58"/>
      <c r="V26" s="59">
        <v>975000</v>
      </c>
    </row>
    <row r="27">
      <c r="E27" s="8"/>
      <c r="F27" s="7"/>
      <c r="G27" s="7"/>
      <c r="H27" s="7"/>
      <c r="I27" s="8"/>
      <c r="J27" s="7"/>
      <c r="K27" s="7"/>
      <c r="L27" s="104"/>
      <c r="M27" s="105"/>
      <c r="N27" s="105"/>
      <c r="O27" s="105"/>
      <c r="P27" s="105"/>
      <c r="Q27" s="265"/>
      <c r="R27" s="7"/>
      <c r="S27" s="9"/>
      <c r="V27" s="59"/>
      <c r="W27" s="60"/>
    </row>
    <row r="28">
      <c r="E28" s="185"/>
      <c r="F28" s="186"/>
      <c r="G28" s="187"/>
      <c r="H28" s="187"/>
      <c r="I28" s="118" t="s">
        <v>172</v>
      </c>
      <c r="J28" s="156"/>
      <c r="K28" s="117"/>
      <c r="L28" s="104"/>
      <c r="M28" s="105"/>
      <c r="N28" s="105"/>
      <c r="O28" s="105"/>
      <c r="P28" s="105"/>
      <c r="Q28" s="265"/>
      <c r="R28" s="117"/>
      <c r="S28" s="119"/>
    </row>
    <row r="29">
      <c r="A29" s="62">
        <f>J52</f>
        <v>1256577</v>
      </c>
      <c r="B29" s="62">
        <f>K52</f>
        <v>1106071.8514365766</v>
      </c>
      <c r="C29" s="60">
        <f>A29/B29</f>
        <v>1.136071764567506</v>
      </c>
      <c r="D29" s="62"/>
      <c r="E29" s="183">
        <f>IF($J$11&lt;$J$19,0,IF(AND($J$11&gt;=$J$19,$J$11&lt;$L$19),J29,IF(AND($J$11&gt;=$L$19,$J$11&lt;$N$19),L29,IF(AND($J$11&gt;=$N$19,$J$11&lt;$P$19),N29,IF(AND($J$11&gt;=$P$19,$J$11&lt;=$R$19),P29,0)))))</f>
        <v>668900</v>
      </c>
      <c r="F29" s="10">
        <f>IF($J$11&lt;$J$19,0,IF(AND($J$11&gt;=$J$19,$J$11&lt;$L$19),K29,IF(AND($J$11&gt;=$L$19,$J$11&lt;$N$19),M29,IF(AND($J$11&gt;=$N$19,$J$11&lt;$P$19),O29,IF(AND($J$11&gt;=$P$19,$J$11&lt;=$R$19),Q29,0)))))</f>
        <v>957039</v>
      </c>
      <c r="G29" s="10">
        <f>IF($J$11&lt;$J$19,0,IF(AND($J$11&gt;=$J$19,$J$11&lt;$L$19),L29,IF(AND($J$11&gt;=$L$19,$J$11&lt;$N$19),N29,IF(AND($J$11&gt;=$N$19,$J$11&lt;$P$19),P29,IF(AND($J$11&gt;=$P$19,$J$11&lt;=$R$19),R29,0)))))</f>
        <v>1257800</v>
      </c>
      <c r="H29" s="10">
        <f>IF($J$11&lt;$J$19,0,IF(AND($J$11&gt;=$J$19,$J$11&lt;$L$19),M29,IF(AND($J$11&gt;=$L$19,$J$11&lt;$N$19),O29,IF(AND($J$11&gt;=$N$19,$J$11&lt;$P$19),Q29,IF(AND($J$11&gt;=$P$19,$J$11&lt;=$R$19),S29,0)))))</f>
        <v>1106382</v>
      </c>
      <c r="I29" s="79" t="s">
        <v>203</v>
      </c>
      <c r="J29" s="139">
        <f>J19</f>
        <v>600000</v>
      </c>
      <c r="K29" s="30">
        <f>J29*(M29/L29)</f>
        <v>858459.26147406187</v>
      </c>
      <c r="L29" s="267">
        <v>668900</v>
      </c>
      <c r="M29" s="268">
        <v>957039</v>
      </c>
      <c r="N29" s="268">
        <v>1257800</v>
      </c>
      <c r="O29" s="268">
        <v>1106382</v>
      </c>
      <c r="P29" s="268">
        <v>2034240</v>
      </c>
      <c r="Q29" s="269">
        <v>1428221</v>
      </c>
      <c r="R29" s="146">
        <f>R19</f>
        <v>2200000</v>
      </c>
      <c r="S29" s="276">
        <f>S19</f>
        <v>1544599.5556079911</v>
      </c>
    </row>
    <row r="30">
      <c r="A30" s="62">
        <f ref="A30:A43" t="shared" si="0">J53</f>
        <v>616031.12855832907</v>
      </c>
      <c r="B30" s="62">
        <f ref="B30:B43" t="shared" si="1">K53</f>
        <v>2595184.04281372</v>
      </c>
      <c r="C30" s="60">
        <f ref="C30:C31" t="shared" si="2">A30/B30</f>
        <v>0.23737473658724526</v>
      </c>
      <c r="D30" s="62"/>
      <c r="E30" s="183">
        <f ref="E30:E43" t="shared" si="3">IF($J$11&lt;$L$19,J30,IF(AND($J$11&gt;=$L$19,$J$11&lt;$N$19),L30,IF(AND($J$11&gt;=$N$19,$J$11&lt;$P$19),N30,IF(AND($J$11&gt;=$P$19,$J$11&lt;$R$19),P30,IF($J$11&gt;=$R$19,R30,R30)))))</f>
        <v>399378</v>
      </c>
      <c r="F30" s="10">
        <f ref="F30:F43" t="shared" si="4">IF($J$11&lt;$J$19,0,IF(AND($J$11&gt;=$J$19,$J$11&lt;$L$19),K30,IF(AND($J$11&gt;=$L$19,$J$11&lt;$N$19),M30,IF(AND($J$11&gt;=$N$19,$J$11&lt;$P$19),O30,IF(AND($J$11&gt;=$P$19,$J$11&lt;=$R$19),Q30,0)))))</f>
        <v>1682215</v>
      </c>
      <c r="G30" s="10">
        <f ref="G30:G43" t="shared" si="5">IF($J$11&lt;$L$19,L30,IF(AND($J$11&gt;=$L$19,$J$11&lt;$N$19),N30,IF(AND($J$11&gt;=$N$19,$J$11&lt;$P$19),P30,IF(AND($J$11&gt;=$P$19,$J$11&lt;=$R$19),R30))))</f>
        <v>616482</v>
      </c>
      <c r="H30" s="10">
        <f ref="H30:H43" t="shared" si="6">IF($J$11&lt;$J$19,0,IF(AND($J$11&gt;=$J$19,$J$11&lt;$L$19),M30,IF(AND($J$11&gt;=$L$19,$J$11&lt;$N$19),O30,IF(AND($J$11&gt;=$N$19,$J$11&lt;$P$19),Q30,IF(AND($J$11&gt;=$P$19,$J$11&lt;=$R$19),S30,0)))))</f>
        <v>2597084</v>
      </c>
      <c r="I30" s="79" t="s">
        <v>204</v>
      </c>
      <c r="J30" s="139">
        <f>L30*($J$29/$L$29)</f>
        <v>358240.09567947377</v>
      </c>
      <c r="K30" s="30">
        <f>M30*($L$29/$M$29)</f>
        <v>1175744.7852177392</v>
      </c>
      <c r="L30" s="267">
        <v>399378</v>
      </c>
      <c r="M30" s="268">
        <v>1682215</v>
      </c>
      <c r="N30" s="268">
        <v>616482</v>
      </c>
      <c r="O30" s="268">
        <v>2597084</v>
      </c>
      <c r="P30" s="268">
        <v>894856</v>
      </c>
      <c r="Q30" s="269">
        <v>3877689</v>
      </c>
      <c r="R30" s="146">
        <f>P30*$R$29/$P$29</f>
        <v>967773.32074878085</v>
      </c>
      <c r="S30" s="276">
        <f>Q30*($R$19/$P$19)</f>
        <v>4193662.3997168476</v>
      </c>
    </row>
    <row r="31" ht="15">
      <c r="A31" s="62">
        <f t="shared" si="0"/>
        <v>205406.20000000004</v>
      </c>
      <c r="B31" s="62">
        <f t="shared" si="1"/>
        <v>558381.09062523337</v>
      </c>
      <c r="C31" s="60">
        <f t="shared" si="2"/>
        <v>0.36786023640234944</v>
      </c>
      <c r="D31" s="62"/>
      <c r="E31" s="183">
        <f t="shared" si="3"/>
        <v>205406.20000000004</v>
      </c>
      <c r="F31" s="10">
        <f t="shared" si="4"/>
        <v>546027.2</v>
      </c>
      <c r="G31" s="10">
        <f t="shared" si="5"/>
        <v>205406.20000000004</v>
      </c>
      <c r="H31" s="10">
        <f t="shared" si="6"/>
        <v>558406.79999999993</v>
      </c>
      <c r="I31" s="79" t="s">
        <v>205</v>
      </c>
      <c r="J31" s="139">
        <f ref="J31:J43" t="shared" si="7">L31*($J$29/$L$29)</f>
        <v>184248.34803408585</v>
      </c>
      <c r="K31" s="30">
        <f ref="K31:K43" t="shared" si="8">M31*($L$29/$M$29)</f>
        <v>381632.92622348719</v>
      </c>
      <c r="L31" s="267">
        <v>205406.20000000004</v>
      </c>
      <c r="M31" s="268">
        <v>546027.2</v>
      </c>
      <c r="N31" s="268">
        <v>205406.20000000004</v>
      </c>
      <c r="O31" s="268">
        <v>558406.79999999993</v>
      </c>
      <c r="P31" s="268">
        <v>205406.20000000004</v>
      </c>
      <c r="Q31" s="269">
        <v>688158.4</v>
      </c>
      <c r="R31" s="146">
        <f>P31*$R$29/$P$29</f>
        <v>222143.71952178705</v>
      </c>
      <c r="S31" s="276">
        <f>Q31*($R$19/$P$19)</f>
        <v>744232.97152745</v>
      </c>
    </row>
    <row r="32" ht="15">
      <c r="A32" s="169">
        <f>SUM(A29:A31)</f>
        <v>2078014.328558329</v>
      </c>
      <c r="B32" s="170">
        <f>SUM(B29:B31)</f>
        <v>4259636.98487553</v>
      </c>
      <c r="C32" s="62"/>
      <c r="D32" s="62"/>
      <c r="E32" s="184"/>
      <c r="F32" s="186"/>
      <c r="G32" s="186"/>
      <c r="H32" s="186"/>
      <c r="I32" s="118" t="s">
        <v>176</v>
      </c>
      <c r="J32" s="139">
        <f>SUM(J29:J31)</f>
        <v>1142488.4437135598</v>
      </c>
      <c r="K32" s="30">
        <f t="shared" si="8"/>
        <v>2226277.7114412268</v>
      </c>
      <c r="L32" s="266">
        <v>1273684.2</v>
      </c>
      <c r="M32" s="106">
        <v>3185281.2</v>
      </c>
      <c r="N32" s="106">
        <v>2079688.2</v>
      </c>
      <c r="O32" s="106">
        <v>4261872.8</v>
      </c>
      <c r="P32" s="106">
        <v>3134502.2</v>
      </c>
      <c r="Q32" s="107">
        <v>5994068.4</v>
      </c>
      <c r="R32" s="139">
        <f>SUM(R29:R31)</f>
        <v>3389917.0402705679</v>
      </c>
      <c r="S32" s="277">
        <f>Q32*$S$29/$Q$29</f>
        <v>6482494.9268522887</v>
      </c>
    </row>
    <row r="33">
      <c r="A33" s="62">
        <f t="shared" si="0"/>
        <v>357425.68252674479</v>
      </c>
      <c r="B33" s="62">
        <f t="shared" si="1"/>
        <v>280589.16800815077</v>
      </c>
      <c r="C33" s="60">
        <f>A33/B33</f>
        <v>1.2738399171430668</v>
      </c>
      <c r="D33" s="62"/>
      <c r="E33" s="183">
        <f t="shared" si="3"/>
        <v>216000</v>
      </c>
      <c r="F33" s="10">
        <f t="shared" si="4"/>
        <v>179280</v>
      </c>
      <c r="G33" s="10">
        <f t="shared" si="5"/>
        <v>357720</v>
      </c>
      <c r="H33" s="10">
        <f t="shared" si="6"/>
        <v>280800</v>
      </c>
      <c r="I33" s="79" t="s">
        <v>206</v>
      </c>
      <c r="J33" s="139">
        <f t="shared" si="7"/>
        <v>193750.93436986097</v>
      </c>
      <c r="K33" s="30">
        <f t="shared" si="8"/>
        <v>125303.55816220655</v>
      </c>
      <c r="L33" s="267">
        <v>216000</v>
      </c>
      <c r="M33" s="268">
        <v>179280</v>
      </c>
      <c r="N33" s="268">
        <v>357720</v>
      </c>
      <c r="O33" s="268">
        <v>280800</v>
      </c>
      <c r="P33" s="268">
        <v>645000</v>
      </c>
      <c r="Q33" s="269">
        <v>512160</v>
      </c>
      <c r="R33" s="146">
        <f>P33*$R$29/$P$29</f>
        <v>697557.81028787163</v>
      </c>
      <c r="S33" s="276">
        <f>Q33*($R$19/$P$19)</f>
        <v>553893.34591788577</v>
      </c>
    </row>
    <row r="34">
      <c r="A34" s="62">
        <f t="shared" si="0"/>
        <v>1618707.2210901682</v>
      </c>
      <c r="B34" s="62">
        <f t="shared" si="1"/>
        <v>1079580.0804890473</v>
      </c>
      <c r="C34" s="60">
        <f ref="C34:C45" t="shared" si="11">A34/B34</f>
        <v>1.4993859652883717</v>
      </c>
      <c r="D34" s="62"/>
      <c r="E34" s="183">
        <f t="shared" si="3"/>
        <v>997500</v>
      </c>
      <c r="F34" s="10">
        <f t="shared" si="4"/>
        <v>877800</v>
      </c>
      <c r="G34" s="10">
        <f t="shared" si="5"/>
        <v>1620000</v>
      </c>
      <c r="H34" s="10">
        <f t="shared" si="6"/>
        <v>1080000</v>
      </c>
      <c r="I34" s="79" t="s">
        <v>207</v>
      </c>
      <c r="J34" s="139">
        <f t="shared" si="7"/>
        <v>894752.57886081631</v>
      </c>
      <c r="K34" s="30">
        <f t="shared" si="8"/>
        <v>613517.75632967928</v>
      </c>
      <c r="L34" s="267">
        <v>997500</v>
      </c>
      <c r="M34" s="268">
        <v>877800</v>
      </c>
      <c r="N34" s="268">
        <v>1620000</v>
      </c>
      <c r="O34" s="268">
        <v>1080000</v>
      </c>
      <c r="P34" s="268">
        <v>2383500</v>
      </c>
      <c r="Q34" s="269">
        <v>2179200</v>
      </c>
      <c r="R34" s="146">
        <f>P34*$R$29/$P$29</f>
        <v>2577719.4431335535</v>
      </c>
      <c r="S34" s="276">
        <f ref="S34:S43" t="shared" si="12">Q34*($R$19/$P$19)</f>
        <v>2356772.0622935346</v>
      </c>
      <c r="U34" s="60"/>
      <c r="V34" s="60"/>
    </row>
    <row r="35">
      <c r="A35" s="62">
        <f t="shared" si="0"/>
        <v>1888099.7707590424</v>
      </c>
      <c r="B35" s="62">
        <f t="shared" si="1"/>
        <v>1510641.8033622007</v>
      </c>
      <c r="C35" s="60">
        <f t="shared" si="11"/>
        <v>1.2498659619750638</v>
      </c>
      <c r="D35" s="62"/>
      <c r="E35" s="183">
        <f t="shared" si="3"/>
        <v>975000</v>
      </c>
      <c r="F35" s="10">
        <f t="shared" si="4"/>
        <v>858000</v>
      </c>
      <c r="G35" s="10">
        <f t="shared" si="5"/>
        <v>1890000</v>
      </c>
      <c r="H35" s="10">
        <f t="shared" si="6"/>
        <v>1512000</v>
      </c>
      <c r="I35" s="79" t="s">
        <v>208</v>
      </c>
      <c r="J35" s="139">
        <f t="shared" si="7"/>
        <v>874570.18986395572</v>
      </c>
      <c r="K35" s="30">
        <f t="shared" si="8"/>
        <v>599679.00994630309</v>
      </c>
      <c r="L35" s="267">
        <v>975000</v>
      </c>
      <c r="M35" s="268">
        <v>858000</v>
      </c>
      <c r="N35" s="268">
        <v>1890000</v>
      </c>
      <c r="O35" s="268">
        <v>1512000</v>
      </c>
      <c r="P35" s="268">
        <v>3480000</v>
      </c>
      <c r="Q35" s="269">
        <v>2610000</v>
      </c>
      <c r="R35" s="146">
        <f>P35*$R$29/$P$29</f>
        <v>3763567.7206229353</v>
      </c>
      <c r="S35" s="276">
        <f t="shared" si="12"/>
        <v>2822675.7904672013</v>
      </c>
    </row>
    <row r="36">
      <c r="A36" s="62"/>
      <c r="B36" s="62"/>
      <c r="C36" s="60"/>
      <c r="D36" s="62"/>
      <c r="E36" s="185"/>
      <c r="F36" s="186"/>
      <c r="G36" s="186"/>
      <c r="H36" s="186"/>
      <c r="I36" s="118" t="s">
        <v>180</v>
      </c>
      <c r="J36" s="139"/>
      <c r="K36" s="30">
        <f t="shared" si="8"/>
        <v>0</v>
      </c>
      <c r="L36" s="267"/>
      <c r="M36" s="268"/>
      <c r="N36" s="268"/>
      <c r="O36" s="268"/>
      <c r="P36" s="268"/>
      <c r="Q36" s="269"/>
      <c r="R36" s="157"/>
      <c r="S36" s="276">
        <f t="shared" si="12"/>
        <v>0</v>
      </c>
      <c r="U36" s="59">
        <f>P35*U34</f>
        <v>0</v>
      </c>
    </row>
    <row r="37">
      <c r="A37" s="62">
        <f t="shared" si="0"/>
        <v>3022081.0799796237</v>
      </c>
      <c r="B37" s="62">
        <f t="shared" si="1"/>
        <v>2820550.8588894559</v>
      </c>
      <c r="C37" s="60">
        <f t="shared" si="11"/>
        <v>1.0714506602336242</v>
      </c>
      <c r="D37" s="62"/>
      <c r="E37" s="183">
        <f t="shared" si="3"/>
        <v>2100000.0000000005</v>
      </c>
      <c r="F37" s="10">
        <f t="shared" si="4"/>
        <v>1932000.0000000005</v>
      </c>
      <c r="G37" s="10">
        <f t="shared" si="5"/>
        <v>3024000.0000000005</v>
      </c>
      <c r="H37" s="10">
        <f t="shared" si="6"/>
        <v>2822400.0000000009</v>
      </c>
      <c r="I37" s="79" t="s">
        <v>209</v>
      </c>
      <c r="J37" s="139">
        <f t="shared" si="7"/>
        <v>1883689.6397069821</v>
      </c>
      <c r="K37" s="30">
        <f t="shared" si="8"/>
        <v>1350326.1622567109</v>
      </c>
      <c r="L37" s="267">
        <v>2100000.0000000005</v>
      </c>
      <c r="M37" s="268">
        <v>1932000.0000000005</v>
      </c>
      <c r="N37" s="268">
        <v>3024000.0000000005</v>
      </c>
      <c r="O37" s="268">
        <v>2822400.0000000009</v>
      </c>
      <c r="P37" s="268">
        <v>3234000</v>
      </c>
      <c r="Q37" s="269">
        <v>2956800.0000000005</v>
      </c>
      <c r="R37" s="146">
        <f>P37*$R$29/$P$29</f>
        <v>3497522.4162340728</v>
      </c>
      <c r="S37" s="276">
        <f t="shared" si="12"/>
        <v>3197734.7805568669</v>
      </c>
    </row>
    <row r="38">
      <c r="A38" s="62">
        <f t="shared" si="0"/>
        <v>2416385.5839701141</v>
      </c>
      <c r="B38" s="62">
        <f t="shared" si="1"/>
        <v>2013557.7381558844</v>
      </c>
      <c r="C38" s="60">
        <f t="shared" si="11"/>
        <v>1.2000577575605849</v>
      </c>
      <c r="D38" s="62"/>
      <c r="E38" s="183">
        <f t="shared" si="3"/>
        <v>1064000.0000000002</v>
      </c>
      <c r="F38" s="10">
        <f t="shared" si="4"/>
        <v>840000</v>
      </c>
      <c r="G38" s="10">
        <f t="shared" si="5"/>
        <v>2419200.0000000005</v>
      </c>
      <c r="H38" s="10">
        <f t="shared" si="6"/>
        <v>2016000.0000000007</v>
      </c>
      <c r="I38" s="79" t="s">
        <v>210</v>
      </c>
      <c r="J38" s="139">
        <f t="shared" si="7"/>
        <v>954402.75078487094</v>
      </c>
      <c r="K38" s="30">
        <f t="shared" si="8"/>
        <v>587098.331415961</v>
      </c>
      <c r="L38" s="267">
        <v>1064000.0000000002</v>
      </c>
      <c r="M38" s="268">
        <v>840000</v>
      </c>
      <c r="N38" s="268">
        <v>2419200.0000000005</v>
      </c>
      <c r="O38" s="268">
        <v>2016000.0000000007</v>
      </c>
      <c r="P38" s="268">
        <v>5481000.0000000009</v>
      </c>
      <c r="Q38" s="269">
        <v>4725000.0000000009</v>
      </c>
      <c r="R38" s="146">
        <f>P38*$R$29/$P$29</f>
        <v>5927619.1599811241</v>
      </c>
      <c r="S38" s="276">
        <f t="shared" si="12"/>
        <v>5110016.5172251072</v>
      </c>
    </row>
    <row r="39">
      <c r="A39" s="62">
        <f t="shared" si="0"/>
        <v>393953.05949509342</v>
      </c>
      <c r="B39" s="62">
        <f t="shared" si="1"/>
        <v>358135.23385521781</v>
      </c>
      <c r="C39" s="60">
        <f t="shared" si="11"/>
        <v>1.1000120129323985</v>
      </c>
      <c r="D39" s="62"/>
      <c r="E39" s="183">
        <f t="shared" si="3"/>
        <v>207162.51750000002</v>
      </c>
      <c r="F39" s="10">
        <f t="shared" si="4"/>
        <v>186446.26575</v>
      </c>
      <c r="G39" s="10">
        <f t="shared" si="5"/>
        <v>394341.78465</v>
      </c>
      <c r="H39" s="10">
        <f t="shared" si="6"/>
        <v>358492.53150000004</v>
      </c>
      <c r="I39" s="79" t="s">
        <v>211</v>
      </c>
      <c r="J39" s="139">
        <f t="shared" si="7"/>
        <v>185823.75616684111</v>
      </c>
      <c r="K39" s="30">
        <f t="shared" si="8"/>
        <v>130312.25181019268</v>
      </c>
      <c r="L39" s="267">
        <v>207162.51750000002</v>
      </c>
      <c r="M39" s="268">
        <v>186446.26575</v>
      </c>
      <c r="N39" s="268">
        <v>394341.78465</v>
      </c>
      <c r="O39" s="268">
        <v>358492.53150000004</v>
      </c>
      <c r="P39" s="268">
        <v>716859.44062499993</v>
      </c>
      <c r="Q39" s="269">
        <v>573487.5525</v>
      </c>
      <c r="R39" s="146">
        <f>P39*$R$29/$P$29</f>
        <v>775272.71579312161</v>
      </c>
      <c r="S39" s="276">
        <f t="shared" si="12"/>
        <v>620218.1726344974</v>
      </c>
      <c r="V39" s="0">
        <f>S19/Q19</f>
        <v>1.0814849771904986</v>
      </c>
    </row>
    <row r="40">
      <c r="A40" s="62"/>
      <c r="B40" s="62"/>
      <c r="C40" s="60"/>
      <c r="D40" s="62"/>
      <c r="E40" s="185">
        <f t="shared" si="3"/>
        <v>0</v>
      </c>
      <c r="F40" s="186">
        <f t="shared" si="4"/>
        <v>0</v>
      </c>
      <c r="G40" s="186">
        <f t="shared" si="5"/>
        <v>0</v>
      </c>
      <c r="H40" s="186">
        <f t="shared" si="6"/>
        <v>0</v>
      </c>
      <c r="I40" s="116" t="s">
        <v>184</v>
      </c>
      <c r="J40" s="139"/>
      <c r="K40" s="30">
        <f t="shared" si="8"/>
        <v>0</v>
      </c>
      <c r="L40" s="267"/>
      <c r="M40" s="268"/>
      <c r="N40" s="268"/>
      <c r="O40" s="268"/>
      <c r="P40" s="268"/>
      <c r="Q40" s="269"/>
      <c r="R40" s="157"/>
      <c r="S40" s="276">
        <f t="shared" si="12"/>
        <v>0</v>
      </c>
      <c r="V40" s="59">
        <f>Q33*V39</f>
        <v>553893.34591788577</v>
      </c>
    </row>
    <row r="41">
      <c r="A41" s="62">
        <f t="shared" si="0"/>
        <v>1923267.0263685375</v>
      </c>
      <c r="B41" s="62">
        <f t="shared" si="1"/>
        <v>1697052.3007450262</v>
      </c>
      <c r="C41" s="60">
        <f t="shared" si="11"/>
        <v>1.1332986175642319</v>
      </c>
      <c r="D41" s="62"/>
      <c r="E41" s="183">
        <f t="shared" si="3"/>
        <v>931335.05899726017</v>
      </c>
      <c r="F41" s="10">
        <f t="shared" si="4"/>
        <v>846797.30073184927</v>
      </c>
      <c r="G41" s="10">
        <f t="shared" si="5"/>
        <v>1925331.3113347606</v>
      </c>
      <c r="H41" s="10">
        <f t="shared" si="6"/>
        <v>1698821.7452953765</v>
      </c>
      <c r="I41" s="79" t="s">
        <v>212</v>
      </c>
      <c r="J41" s="139">
        <f t="shared" si="7"/>
        <v>835402.95320429979</v>
      </c>
      <c r="K41" s="30">
        <f t="shared" si="8"/>
        <v>591849.14560381963</v>
      </c>
      <c r="L41" s="267">
        <v>931335.05899726017</v>
      </c>
      <c r="M41" s="268">
        <v>846797.30073184927</v>
      </c>
      <c r="N41" s="268">
        <v>1925331.3113347606</v>
      </c>
      <c r="O41" s="268">
        <v>1698821.7452953765</v>
      </c>
      <c r="P41" s="268">
        <v>3097566.7150684935</v>
      </c>
      <c r="Q41" s="269">
        <v>2710370.8756849309</v>
      </c>
      <c r="R41" s="146">
        <f>P41*$R$29/$P$29</f>
        <v>3349971.8681918974</v>
      </c>
      <c r="S41" s="276">
        <f t="shared" si="12"/>
        <v>2931225.3846679092</v>
      </c>
    </row>
    <row r="42">
      <c r="A42" s="62">
        <f t="shared" si="0"/>
        <v>1487496.1602139582</v>
      </c>
      <c r="B42" s="62">
        <f t="shared" si="1"/>
        <v>1312934.6255731024</v>
      </c>
      <c r="C42" s="60">
        <f t="shared" si="11"/>
        <v>1.1329552372530802</v>
      </c>
      <c r="D42" s="62"/>
      <c r="E42" s="183">
        <f t="shared" si="3"/>
        <v>885000</v>
      </c>
      <c r="F42" s="10">
        <f t="shared" si="4"/>
        <v>801000</v>
      </c>
      <c r="G42" s="10">
        <f t="shared" si="5"/>
        <v>1488750</v>
      </c>
      <c r="H42" s="10">
        <f t="shared" si="6"/>
        <v>1314000</v>
      </c>
      <c r="I42" s="79" t="s">
        <v>213</v>
      </c>
      <c r="J42" s="139">
        <f t="shared" si="7"/>
        <v>793840.63387651369</v>
      </c>
      <c r="K42" s="30">
        <f t="shared" si="8"/>
        <v>559840.19460022007</v>
      </c>
      <c r="L42" s="267">
        <v>885000</v>
      </c>
      <c r="M42" s="268">
        <v>801000</v>
      </c>
      <c r="N42" s="268">
        <v>1488750</v>
      </c>
      <c r="O42" s="268">
        <v>1314000</v>
      </c>
      <c r="P42" s="268">
        <v>2025000</v>
      </c>
      <c r="Q42" s="269">
        <v>1714500</v>
      </c>
      <c r="R42" s="146">
        <f>P42*$R$29/$P$29</f>
        <v>2190007.07881076</v>
      </c>
      <c r="S42" s="276">
        <f t="shared" si="12"/>
        <v>1854205.9933931099</v>
      </c>
    </row>
    <row r="43">
      <c r="A43" s="62">
        <f t="shared" si="0"/>
        <v>1293090.0459456958</v>
      </c>
      <c r="B43" s="62">
        <f t="shared" si="1"/>
        <v>927289.50666913064</v>
      </c>
      <c r="C43" s="60">
        <f t="shared" si="11"/>
        <v>1.3944836393011053</v>
      </c>
      <c r="D43" s="62"/>
      <c r="E43" s="183">
        <f t="shared" si="3"/>
        <v>764992.80000012112</v>
      </c>
      <c r="F43" s="10">
        <f t="shared" si="4"/>
        <v>529709.7599999595</v>
      </c>
      <c r="G43" s="10">
        <f t="shared" si="5"/>
        <v>1294189.056000184</v>
      </c>
      <c r="H43" s="10">
        <f t="shared" si="6"/>
        <v>928116.8999994403</v>
      </c>
      <c r="I43" s="8" t="s">
        <v>214</v>
      </c>
      <c r="J43" s="139">
        <f t="shared" si="7"/>
        <v>686194.76752888726</v>
      </c>
      <c r="K43" s="30">
        <f t="shared" si="8"/>
        <v>370228.23360800644</v>
      </c>
      <c r="L43" s="267">
        <v>764992.80000012112</v>
      </c>
      <c r="M43" s="268">
        <v>529709.7599999595</v>
      </c>
      <c r="N43" s="268">
        <v>1294189.056000184</v>
      </c>
      <c r="O43" s="268">
        <v>928116.8999994403</v>
      </c>
      <c r="P43" s="268">
        <v>3909558.5280006975</v>
      </c>
      <c r="Q43" s="269">
        <v>2706400.7999997512</v>
      </c>
      <c r="R43" s="146">
        <f>P43*$R$29/$P$29</f>
        <v>4228128.8154797535</v>
      </c>
      <c r="S43" s="276">
        <f t="shared" si="12"/>
        <v>2926931.807456078</v>
      </c>
    </row>
    <row r="44" ht="15">
      <c r="C44" s="60"/>
      <c r="E44" s="188"/>
      <c r="F44" s="189"/>
      <c r="G44" s="189"/>
      <c r="H44" s="189"/>
      <c r="I44" s="120"/>
      <c r="J44" s="163"/>
      <c r="K44" s="121"/>
      <c r="L44" s="273"/>
      <c r="M44" s="274"/>
      <c r="N44" s="274"/>
      <c r="O44" s="274"/>
      <c r="P44" s="274"/>
      <c r="Q44" s="275"/>
      <c r="R44" s="146"/>
      <c r="S44" s="119"/>
    </row>
    <row r="45" ht="15">
      <c r="A45" s="169">
        <f>SUM(A33:A43)</f>
        <v>14400505.63034898</v>
      </c>
      <c r="B45" s="169">
        <f>SUM(B33:B43)</f>
        <v>12000331.315747216</v>
      </c>
      <c r="C45" s="60">
        <f t="shared" si="11"/>
        <v>1.2000090040390952</v>
      </c>
      <c r="E45" s="171">
        <f>SUM(E33:E43)</f>
        <v>8140990.3764973814</v>
      </c>
      <c r="F45" s="171">
        <f ref="F45:G45" t="shared" si="13">SUM(F33:F43)</f>
        <v>7051033.3264818089</v>
      </c>
      <c r="G45" s="171">
        <f t="shared" si="13"/>
        <v>14413532.151984945</v>
      </c>
      <c r="H45" s="171">
        <f>SUM(H33:H43)</f>
        <v>12010631.17679482</v>
      </c>
      <c r="I45" s="211"/>
      <c r="J45" s="278">
        <f ref="J45:Q45" t="shared" si="14">SUM(J33:J43)/3</f>
        <v>2434142.7347876756</v>
      </c>
      <c r="K45" s="278">
        <f t="shared" si="14"/>
        <v>1642718.2145777</v>
      </c>
      <c r="L45" s="280">
        <f t="shared" si="14"/>
        <v>2713663.4588324605</v>
      </c>
      <c r="M45" s="280">
        <f t="shared" si="14"/>
        <v>2350344.4421606031</v>
      </c>
      <c r="N45" s="280">
        <f t="shared" si="14"/>
        <v>4804510.7173283147</v>
      </c>
      <c r="O45" s="280">
        <f t="shared" si="14"/>
        <v>4003543.7255982733</v>
      </c>
      <c r="P45" s="280">
        <f t="shared" si="14"/>
        <v>8324161.5612313971</v>
      </c>
      <c r="Q45" s="280">
        <f t="shared" si="14"/>
        <v>6895973.0760615608</v>
      </c>
      <c r="R45" s="278"/>
      <c r="S45" s="279"/>
    </row>
    <row r="46" ht="15" customHeight="1">
      <c r="L46" s="122"/>
      <c r="M46" s="122"/>
      <c r="N46" s="122"/>
      <c r="O46" s="122"/>
      <c r="P46" s="122"/>
      <c r="Q46" s="122"/>
      <c r="R46" s="122"/>
      <c r="S46" s="122"/>
    </row>
    <row r="47" ht="15" customHeight="1">
      <c r="A47" s="76"/>
      <c r="B47" s="76"/>
      <c r="C47" s="76"/>
      <c r="I47" s="0" t="s">
        <v>215</v>
      </c>
      <c r="L47" s="122"/>
      <c r="M47" s="122"/>
      <c r="N47" s="122"/>
      <c r="O47" s="122"/>
      <c r="P47" s="122"/>
      <c r="Q47" s="122"/>
      <c r="R47" s="122"/>
      <c r="S47" s="122"/>
    </row>
    <row r="48" ht="15" customHeight="1">
      <c r="I48" s="108"/>
      <c r="J48" s="190" t="s">
        <v>168</v>
      </c>
      <c r="K48" s="192" t="s">
        <v>169</v>
      </c>
      <c r="L48" s="122"/>
      <c r="M48" s="122"/>
      <c r="N48" s="122"/>
      <c r="O48" s="122"/>
      <c r="P48" s="122"/>
      <c r="Q48" s="122"/>
      <c r="R48" s="122"/>
      <c r="S48" s="122"/>
    </row>
    <row r="49" ht="15" customHeight="1">
      <c r="I49" s="109" t="s">
        <v>202</v>
      </c>
      <c r="J49" s="191" t="s">
        <v>216</v>
      </c>
      <c r="K49" s="193" t="s">
        <v>217</v>
      </c>
      <c r="L49" s="122"/>
      <c r="M49" s="122"/>
      <c r="N49" s="62"/>
      <c r="O49" s="122"/>
      <c r="P49" s="122"/>
      <c r="Q49" s="122"/>
      <c r="R49" s="122"/>
      <c r="S49" s="122"/>
    </row>
    <row r="50" ht="15" customHeight="1">
      <c r="I50" s="8"/>
      <c r="J50" s="194"/>
      <c r="K50" s="9"/>
      <c r="L50" s="122"/>
      <c r="M50" s="122"/>
      <c r="N50" s="62"/>
      <c r="O50" s="122"/>
      <c r="P50" s="122"/>
      <c r="Q50" s="122"/>
      <c r="R50" s="122"/>
      <c r="S50" s="122"/>
    </row>
    <row r="51" ht="15" customHeight="1">
      <c r="I51" s="118" t="s">
        <v>172</v>
      </c>
      <c r="J51" s="195"/>
      <c r="K51" s="119"/>
      <c r="L51" s="122"/>
      <c r="M51" s="122"/>
      <c r="N51" s="62"/>
      <c r="O51" s="122"/>
      <c r="P51" s="122"/>
      <c r="Q51" s="122"/>
      <c r="R51" s="122"/>
      <c r="S51" s="122"/>
    </row>
    <row r="52" ht="15" customHeight="1">
      <c r="F52" s="62"/>
      <c r="G52" s="62"/>
      <c r="H52" s="62"/>
      <c r="I52" s="79" t="s">
        <v>203</v>
      </c>
      <c r="J52" s="196">
        <f>E29+ ((G29-E29)*(($J$11-$E$29)/($G$29-$E$29)))</f>
        <v>1256577</v>
      </c>
      <c r="K52" s="87">
        <f>F29+ ((H29-F29)*(($J$11-$E$29)/($G$29-$E$29)))</f>
        <v>1106071.8514365766</v>
      </c>
      <c r="L52" s="122">
        <f>J52/K52</f>
        <v>1.136071764567506</v>
      </c>
      <c r="M52" s="62"/>
      <c r="N52" s="62"/>
      <c r="O52" s="122"/>
      <c r="P52" s="122"/>
      <c r="Q52" s="122"/>
      <c r="R52" s="122"/>
      <c r="S52" s="122"/>
    </row>
    <row r="53" ht="15" customHeight="1">
      <c r="I53" s="79" t="s">
        <v>204</v>
      </c>
      <c r="J53" s="196">
        <f ref="J53:J66" t="shared" si="15">E30+ ((G30-E30)*(($J$11-$E$29)/($G$29-$E$29)))</f>
        <v>616031.12855832907</v>
      </c>
      <c r="K53" s="87">
        <f ref="K53:K66" t="shared" si="16">F30+ ((H30-F30)*(($J$11-$E$29)/($G$29-$E$29)))</f>
        <v>2595184.04281372</v>
      </c>
      <c r="L53" s="122">
        <f>J54/K54</f>
        <v>0.36786023640234944</v>
      </c>
      <c r="M53" s="62"/>
      <c r="N53" s="62"/>
      <c r="O53" s="122"/>
      <c r="P53" s="122"/>
      <c r="Q53" s="122"/>
      <c r="R53" s="122"/>
      <c r="S53" s="122"/>
    </row>
    <row r="54" ht="15" customHeight="1">
      <c r="F54" s="62"/>
      <c r="I54" s="79" t="s">
        <v>205</v>
      </c>
      <c r="J54" s="196">
        <f t="shared" si="15"/>
        <v>205406.20000000004</v>
      </c>
      <c r="K54" s="87">
        <f t="shared" si="16"/>
        <v>558381.09062523337</v>
      </c>
      <c r="M54" s="62"/>
      <c r="N54" s="62"/>
      <c r="O54" s="122"/>
      <c r="P54" s="122"/>
      <c r="Q54" s="122"/>
      <c r="R54" s="122"/>
      <c r="S54" s="122"/>
    </row>
    <row r="55" ht="15" customHeight="1">
      <c r="I55" s="118" t="s">
        <v>176</v>
      </c>
      <c r="J55" s="197"/>
      <c r="K55" s="140"/>
      <c r="L55" s="122"/>
      <c r="M55" s="62"/>
      <c r="N55" s="62"/>
      <c r="O55" s="122"/>
      <c r="P55" s="122"/>
      <c r="Q55" s="122"/>
      <c r="R55" s="122"/>
      <c r="S55" s="122"/>
    </row>
    <row r="56" ht="15" customHeight="1">
      <c r="I56" s="79" t="s">
        <v>206</v>
      </c>
      <c r="J56" s="196">
        <f t="shared" si="15"/>
        <v>357425.68252674479</v>
      </c>
      <c r="K56" s="87">
        <f t="shared" si="16"/>
        <v>280589.16800815077</v>
      </c>
      <c r="L56" s="122">
        <f ref="L56:L68" t="shared" si="17">J56/K56</f>
        <v>1.2738399171430668</v>
      </c>
      <c r="M56" s="62"/>
      <c r="N56" s="62"/>
      <c r="O56" s="122"/>
      <c r="P56" s="122"/>
      <c r="Q56" s="122"/>
      <c r="R56" s="122"/>
      <c r="S56" s="122"/>
    </row>
    <row r="57" ht="15" customHeight="1">
      <c r="F57" s="62"/>
      <c r="I57" s="79" t="s">
        <v>207</v>
      </c>
      <c r="J57" s="196">
        <f t="shared" si="15"/>
        <v>1618707.2210901682</v>
      </c>
      <c r="K57" s="87">
        <f t="shared" si="16"/>
        <v>1079580.0804890473</v>
      </c>
      <c r="L57" s="122">
        <f t="shared" si="17"/>
        <v>1.4993859652883717</v>
      </c>
      <c r="M57" s="62"/>
      <c r="N57" s="62"/>
      <c r="O57" s="122"/>
      <c r="P57" s="122"/>
      <c r="Q57" s="122"/>
      <c r="R57" s="122"/>
      <c r="S57" s="122"/>
    </row>
    <row r="58" ht="15" customHeight="1">
      <c r="G58" s="62"/>
      <c r="I58" s="79" t="s">
        <v>208</v>
      </c>
      <c r="J58" s="196">
        <f t="shared" si="15"/>
        <v>1888099.7707590424</v>
      </c>
      <c r="K58" s="87">
        <f t="shared" si="16"/>
        <v>1510641.8033622007</v>
      </c>
      <c r="L58" s="122">
        <f t="shared" si="17"/>
        <v>1.2498659619750638</v>
      </c>
      <c r="M58" s="62"/>
      <c r="N58" s="62"/>
      <c r="O58" s="122"/>
      <c r="P58" s="122"/>
      <c r="Q58" s="122"/>
      <c r="R58" s="122"/>
      <c r="S58" s="122"/>
    </row>
    <row r="59" ht="15" customHeight="1">
      <c r="G59" s="62"/>
      <c r="I59" s="118" t="s">
        <v>180</v>
      </c>
      <c r="J59" s="197"/>
      <c r="K59" s="140"/>
      <c r="L59" s="122"/>
      <c r="M59" s="62"/>
      <c r="N59" s="62"/>
      <c r="O59" s="122"/>
      <c r="P59" s="122"/>
      <c r="Q59" s="122"/>
      <c r="R59" s="122"/>
      <c r="S59" s="122"/>
    </row>
    <row r="60" ht="15" customHeight="1">
      <c r="E60" s="60"/>
      <c r="G60" s="62"/>
      <c r="I60" s="79" t="s">
        <v>209</v>
      </c>
      <c r="J60" s="196">
        <f t="shared" si="15"/>
        <v>3022081.0799796237</v>
      </c>
      <c r="K60" s="87">
        <f t="shared" si="16"/>
        <v>2820550.8588894559</v>
      </c>
      <c r="L60" s="122">
        <f t="shared" si="17"/>
        <v>1.0714506602336242</v>
      </c>
      <c r="M60" s="62"/>
      <c r="N60" s="62"/>
      <c r="O60" s="122"/>
      <c r="P60" s="122"/>
      <c r="Q60" s="122"/>
      <c r="R60" s="122"/>
      <c r="S60" s="122"/>
    </row>
    <row r="61" ht="15" customHeight="1">
      <c r="G61" s="62"/>
      <c r="I61" s="79" t="s">
        <v>210</v>
      </c>
      <c r="J61" s="196">
        <f t="shared" si="15"/>
        <v>2416385.5839701141</v>
      </c>
      <c r="K61" s="87">
        <f t="shared" si="16"/>
        <v>2013557.7381558844</v>
      </c>
      <c r="L61" s="122">
        <f t="shared" si="17"/>
        <v>1.2000577575605849</v>
      </c>
      <c r="M61" s="62"/>
      <c r="N61" s="62"/>
      <c r="O61" s="122"/>
      <c r="P61" s="122"/>
      <c r="Q61" s="122"/>
      <c r="R61" s="122"/>
      <c r="S61" s="122"/>
    </row>
    <row r="62" ht="15" customHeight="1">
      <c r="G62" s="62"/>
      <c r="I62" s="79" t="s">
        <v>211</v>
      </c>
      <c r="J62" s="196">
        <f t="shared" si="15"/>
        <v>393953.05949509342</v>
      </c>
      <c r="K62" s="87">
        <f t="shared" si="16"/>
        <v>358135.23385521781</v>
      </c>
      <c r="L62" s="122">
        <f t="shared" si="17"/>
        <v>1.1000120129323985</v>
      </c>
      <c r="M62" s="62"/>
      <c r="N62" s="62"/>
      <c r="O62" s="122"/>
      <c r="P62" s="122"/>
      <c r="Q62" s="122"/>
      <c r="R62" s="122"/>
      <c r="S62" s="122"/>
    </row>
    <row r="63" ht="15" customHeight="1">
      <c r="G63" s="60"/>
      <c r="I63" s="116" t="s">
        <v>184</v>
      </c>
      <c r="J63" s="197"/>
      <c r="K63" s="140"/>
      <c r="L63" s="122"/>
      <c r="M63" s="62"/>
      <c r="N63" s="62"/>
      <c r="O63" s="122"/>
      <c r="P63" s="122"/>
      <c r="Q63" s="122"/>
      <c r="R63" s="122"/>
      <c r="S63" s="122"/>
    </row>
    <row r="64" ht="15" customHeight="1">
      <c r="G64" s="62"/>
      <c r="I64" s="79" t="s">
        <v>212</v>
      </c>
      <c r="J64" s="196">
        <f t="shared" si="15"/>
        <v>1923267.0263685375</v>
      </c>
      <c r="K64" s="87">
        <f t="shared" si="16"/>
        <v>1697052.3007450262</v>
      </c>
      <c r="L64" s="122">
        <f t="shared" si="17"/>
        <v>1.1332986175642319</v>
      </c>
      <c r="M64" s="62"/>
      <c r="N64" s="62"/>
      <c r="O64" s="122"/>
      <c r="P64" s="122"/>
      <c r="Q64" s="122"/>
      <c r="R64" s="122"/>
      <c r="S64" s="122"/>
    </row>
    <row r="65" ht="15" customHeight="1">
      <c r="G65" s="59"/>
      <c r="I65" s="79" t="s">
        <v>213</v>
      </c>
      <c r="J65" s="196">
        <f t="shared" si="15"/>
        <v>1487496.1602139582</v>
      </c>
      <c r="K65" s="87">
        <f t="shared" si="16"/>
        <v>1312934.6255731024</v>
      </c>
      <c r="L65" s="122">
        <f t="shared" si="17"/>
        <v>1.1329552372530802</v>
      </c>
      <c r="M65" s="62"/>
      <c r="N65" s="62"/>
      <c r="O65" s="122"/>
      <c r="P65" s="122"/>
      <c r="Q65" s="122"/>
      <c r="R65" s="122"/>
      <c r="S65" s="122"/>
    </row>
    <row r="66" ht="15" customHeight="1">
      <c r="G66" s="62"/>
      <c r="I66" s="8" t="s">
        <v>214</v>
      </c>
      <c r="J66" s="196">
        <f t="shared" si="15"/>
        <v>1293090.0459456958</v>
      </c>
      <c r="K66" s="87">
        <f t="shared" si="16"/>
        <v>927289.50666913064</v>
      </c>
      <c r="L66" s="122">
        <f t="shared" si="17"/>
        <v>1.3944836393011053</v>
      </c>
      <c r="M66" s="62"/>
      <c r="N66" s="62"/>
      <c r="O66" s="122"/>
      <c r="P66" s="122"/>
      <c r="Q66" s="122"/>
      <c r="R66" s="122"/>
      <c r="S66" s="122"/>
    </row>
    <row r="67" ht="15" customHeight="1">
      <c r="I67" s="120"/>
      <c r="J67" s="198"/>
      <c r="K67" s="199"/>
      <c r="L67" s="122"/>
      <c r="M67" s="122"/>
      <c r="N67" s="122"/>
      <c r="O67" s="122"/>
      <c r="P67" s="122"/>
      <c r="Q67" s="122"/>
      <c r="R67" s="122"/>
      <c r="S67" s="122"/>
    </row>
    <row r="68" ht="15" customHeight="1">
      <c r="G68" s="60"/>
      <c r="I68" s="200"/>
      <c r="J68" s="201">
        <f>SUM(J56:J66)/3</f>
        <v>4800168.54344966</v>
      </c>
      <c r="K68" s="201">
        <f>SUM(K56:K66)/3</f>
        <v>4000110.4385824054</v>
      </c>
      <c r="L68" s="122">
        <f t="shared" si="17"/>
        <v>1.2000090040390949</v>
      </c>
      <c r="M68" s="202"/>
      <c r="N68" s="122"/>
      <c r="O68" s="122"/>
      <c r="P68" s="122"/>
      <c r="Q68" s="122"/>
      <c r="R68" s="122"/>
      <c r="S68" s="122"/>
    </row>
    <row r="69" ht="15" customHeight="1">
      <c r="L69" s="122"/>
      <c r="M69" s="122"/>
      <c r="N69" s="122"/>
      <c r="O69" s="122"/>
      <c r="P69" s="122"/>
      <c r="Q69" s="122"/>
      <c r="R69" s="122"/>
      <c r="S69" s="122"/>
    </row>
    <row r="70" ht="15" customHeight="1">
      <c r="L70" s="122"/>
      <c r="M70" s="122"/>
      <c r="N70" s="122"/>
      <c r="O70" s="122"/>
      <c r="P70" s="122"/>
      <c r="Q70" s="122"/>
      <c r="R70" s="122"/>
      <c r="S70" s="122"/>
    </row>
    <row r="71" ht="15">
      <c r="L71" s="21"/>
      <c r="Q71" s="122"/>
      <c r="R71" s="122"/>
      <c r="S71" s="122"/>
    </row>
    <row r="72">
      <c r="F72" s="62">
        <f>E30</f>
        <v>399378</v>
      </c>
      <c r="I72" s="15" t="s">
        <v>218</v>
      </c>
      <c r="J72" s="147"/>
      <c r="K72" s="147"/>
      <c r="L72" s="22" t="s">
        <v>219</v>
      </c>
      <c r="M72" s="141" t="s">
        <v>220</v>
      </c>
      <c r="N72" s="141" t="s">
        <v>221</v>
      </c>
      <c r="O72" s="141" t="s">
        <v>222</v>
      </c>
      <c r="P72" s="142" t="s">
        <v>223</v>
      </c>
      <c r="Q72" s="122"/>
      <c r="R72" s="122"/>
      <c r="S72" s="122"/>
    </row>
    <row r="73">
      <c r="F73" s="62">
        <f>G30-E30</f>
        <v>217104</v>
      </c>
      <c r="I73" s="19" t="s">
        <v>203</v>
      </c>
      <c r="J73" s="49"/>
      <c r="K73" s="49"/>
      <c r="L73" s="27">
        <f>J52</f>
        <v>1256577</v>
      </c>
      <c r="M73" s="27">
        <v>0</v>
      </c>
      <c r="N73" s="27">
        <v>0</v>
      </c>
      <c r="O73" s="27">
        <v>0</v>
      </c>
      <c r="P73" s="33">
        <f>SUM(L73:O73)</f>
        <v>1256577</v>
      </c>
      <c r="Q73" s="122"/>
      <c r="R73" s="122"/>
      <c r="S73" s="122"/>
    </row>
    <row r="74">
      <c r="F74" s="31">
        <f>J11/G29</f>
        <v>0.99902766735570048</v>
      </c>
      <c r="I74" s="19" t="s">
        <v>204</v>
      </c>
      <c r="J74" s="49"/>
      <c r="K74" s="49"/>
      <c r="L74" s="27">
        <f>J53</f>
        <v>616031.12855832907</v>
      </c>
      <c r="M74" s="27">
        <v>0</v>
      </c>
      <c r="N74" s="27">
        <v>0</v>
      </c>
      <c r="O74" s="27">
        <v>0</v>
      </c>
      <c r="P74" s="33">
        <f>SUM(L74:O74)</f>
        <v>616031.12855832907</v>
      </c>
      <c r="Q74" s="122"/>
      <c r="R74" s="122"/>
      <c r="S74" s="122"/>
    </row>
    <row r="75" ht="15">
      <c r="F75" s="62">
        <f>F73*F74</f>
        <v>216892.90269359198</v>
      </c>
      <c r="I75" s="19" t="s">
        <v>205</v>
      </c>
      <c r="J75" s="49"/>
      <c r="K75" s="49"/>
      <c r="L75" s="27">
        <f>J54</f>
        <v>205406.20000000004</v>
      </c>
      <c r="M75" s="32">
        <f>L75</f>
        <v>205406.20000000004</v>
      </c>
      <c r="N75" s="32">
        <f>M75</f>
        <v>205406.20000000004</v>
      </c>
      <c r="O75" s="32"/>
      <c r="P75" s="33">
        <f>SUM(L75:O75)</f>
        <v>616218.60000000009</v>
      </c>
      <c r="Q75" s="122"/>
      <c r="R75" s="122"/>
      <c r="S75" s="122"/>
    </row>
    <row r="76" ht="15">
      <c r="F76" s="62">
        <f>F72+F75</f>
        <v>616270.902693592</v>
      </c>
      <c r="I76" s="51" t="s">
        <v>218</v>
      </c>
      <c r="J76" s="148"/>
      <c r="K76" s="148"/>
      <c r="L76" s="52">
        <f>SUM(L73:L75)</f>
        <v>2078014.328558329</v>
      </c>
      <c r="M76" s="52">
        <f>SUM(M73:M75)</f>
        <v>205406.20000000004</v>
      </c>
      <c r="N76" s="52">
        <f>SUM(N73:N75)</f>
        <v>205406.20000000004</v>
      </c>
      <c r="O76" s="52">
        <f>SUM(O73:O75)</f>
        <v>0</v>
      </c>
      <c r="P76" s="53">
        <f>SUM(P73:P75)</f>
        <v>2488826.7285583289</v>
      </c>
      <c r="Q76" s="122"/>
      <c r="R76" s="122"/>
      <c r="S76" s="122"/>
    </row>
    <row r="77" ht="15">
      <c r="I77" s="28" t="s">
        <v>224</v>
      </c>
      <c r="J77" s="149"/>
      <c r="K77" s="149"/>
      <c r="L77" s="48">
        <v>0</v>
      </c>
      <c r="M77" s="48">
        <v>0</v>
      </c>
      <c r="N77" s="48">
        <v>0</v>
      </c>
      <c r="O77" s="48">
        <v>0</v>
      </c>
      <c r="P77" s="54">
        <v>0</v>
      </c>
      <c r="Q77" s="122"/>
      <c r="R77" s="122"/>
      <c r="S77" s="122"/>
    </row>
    <row r="78" ht="15.6">
      <c r="I78" s="50" t="s">
        <v>225</v>
      </c>
      <c r="J78" s="150"/>
      <c r="K78" s="150"/>
      <c r="L78" s="55">
        <f>L76*(1+L77)</f>
        <v>2078014.328558329</v>
      </c>
      <c r="M78" s="55">
        <f ref="M78:P78" t="shared" si="18">M76*(1+M77)</f>
        <v>205406.20000000004</v>
      </c>
      <c r="N78" s="55">
        <f t="shared" si="18"/>
        <v>205406.20000000004</v>
      </c>
      <c r="O78" s="55">
        <f t="shared" si="18"/>
        <v>0</v>
      </c>
      <c r="P78" s="56">
        <f t="shared" si="18"/>
        <v>2488826.7285583289</v>
      </c>
      <c r="Q78" s="122"/>
      <c r="R78" s="122"/>
      <c r="S78" s="122"/>
    </row>
    <row r="79">
      <c r="I79" s="49"/>
      <c r="J79" s="49"/>
      <c r="K79" s="49"/>
      <c r="L79" s="32"/>
      <c r="M79" s="26"/>
      <c r="N79" s="20"/>
      <c r="O79" s="20"/>
      <c r="P79" s="20"/>
      <c r="Q79" s="122"/>
      <c r="R79" s="122"/>
      <c r="S79" s="122"/>
    </row>
    <row r="80" ht="15">
      <c r="L80" s="21"/>
      <c r="Q80" s="122"/>
      <c r="R80" s="122"/>
      <c r="S80" s="122"/>
    </row>
    <row r="81" ht="15">
      <c r="I81" s="35" t="s">
        <v>226</v>
      </c>
      <c r="J81" s="213"/>
      <c r="K81" s="213"/>
      <c r="L81" s="213" t="s">
        <v>219</v>
      </c>
      <c r="M81" s="213" t="s">
        <v>220</v>
      </c>
      <c r="N81" s="213" t="s">
        <v>221</v>
      </c>
      <c r="O81" s="213" t="s">
        <v>222</v>
      </c>
      <c r="P81" s="214" t="s">
        <v>223</v>
      </c>
      <c r="Q81" s="122"/>
      <c r="R81" s="122"/>
      <c r="S81" s="122"/>
      <c r="V81" s="0">
        <f>L84/M84</f>
        <v>-0.45225719487336874</v>
      </c>
    </row>
    <row r="82" ht="15">
      <c r="I82" s="34" t="s">
        <v>197</v>
      </c>
      <c r="J82" s="78"/>
      <c r="K82" s="78"/>
      <c r="L82" s="43"/>
      <c r="M82" s="162">
        <f>J68</f>
        <v>4800168.54344966</v>
      </c>
      <c r="N82" s="44">
        <f>M82</f>
        <v>4800168.54344966</v>
      </c>
      <c r="O82" s="44">
        <f>N82</f>
        <v>4800168.54344966</v>
      </c>
      <c r="P82" s="80">
        <f>SUM(L82:O82)</f>
        <v>14400505.63034898</v>
      </c>
      <c r="Q82" s="122"/>
      <c r="R82" s="122"/>
      <c r="S82" s="122"/>
      <c r="U82" s="84"/>
    </row>
    <row r="83" ht="15">
      <c r="G83" s="164">
        <f>F33</f>
        <v>179280</v>
      </c>
      <c r="I83" s="13" t="s">
        <v>198</v>
      </c>
      <c r="J83" s="100"/>
      <c r="K83" s="100"/>
      <c r="L83" s="36">
        <f>L76</f>
        <v>2078014.328558329</v>
      </c>
      <c r="M83" s="36">
        <f ref="M83:O83" t="shared" si="19">M76</f>
        <v>205406.20000000004</v>
      </c>
      <c r="N83" s="36">
        <f t="shared" si="19"/>
        <v>205406.20000000004</v>
      </c>
      <c r="O83" s="36">
        <f t="shared" si="19"/>
        <v>0</v>
      </c>
      <c r="P83" s="103">
        <f>SUM(L83:O83)</f>
        <v>2488826.7285583294</v>
      </c>
      <c r="Q83" s="122"/>
      <c r="R83" s="122"/>
      <c r="S83" s="122"/>
      <c r="U83" s="114"/>
    </row>
    <row r="84" ht="15">
      <c r="G84" s="165">
        <f>H33-F33</f>
        <v>101520</v>
      </c>
      <c r="I84" s="8" t="s">
        <v>227</v>
      </c>
      <c r="J84" s="7"/>
      <c r="K84" s="7"/>
      <c r="L84" s="25">
        <f>L82-L83</f>
        <v>-2078014.328558329</v>
      </c>
      <c r="M84" s="25">
        <f ref="M84:P84" t="shared" si="20">M82-M83</f>
        <v>4594762.34344966</v>
      </c>
      <c r="N84" s="25">
        <f t="shared" si="20"/>
        <v>4594762.34344966</v>
      </c>
      <c r="O84" s="25">
        <f t="shared" si="20"/>
        <v>4800168.54344966</v>
      </c>
      <c r="P84" s="45">
        <f t="shared" si="20"/>
        <v>11911678.901790651</v>
      </c>
      <c r="Q84" s="122"/>
      <c r="R84" s="122"/>
      <c r="S84" s="122"/>
      <c r="U84" s="114">
        <f>L84/M83</f>
        <v>-10.116609569518001</v>
      </c>
    </row>
    <row r="85">
      <c r="G85" s="165">
        <f>J11-E29</f>
        <v>587677</v>
      </c>
      <c r="I85" s="8"/>
      <c r="J85" s="7"/>
      <c r="K85" s="7"/>
      <c r="L85" s="25"/>
      <c r="M85" s="25"/>
      <c r="N85" s="25"/>
      <c r="O85" s="25"/>
      <c r="P85" s="45"/>
      <c r="Q85" s="122"/>
      <c r="R85" s="122"/>
      <c r="S85" s="122"/>
    </row>
    <row r="86">
      <c r="G86" s="165">
        <f>G29-E29</f>
        <v>588900</v>
      </c>
      <c r="I86" s="8" t="s">
        <v>228</v>
      </c>
      <c r="J86" s="7"/>
      <c r="K86" s="7"/>
      <c r="L86" s="81">
        <v>0</v>
      </c>
      <c r="M86" s="81">
        <v>1</v>
      </c>
      <c r="N86" s="81">
        <v>2</v>
      </c>
      <c r="O86" s="81">
        <v>3</v>
      </c>
      <c r="P86" s="82"/>
      <c r="Q86" s="122"/>
      <c r="R86" s="122"/>
      <c r="S86" s="122"/>
    </row>
    <row r="87">
      <c r="G87" s="166">
        <f>G85/G86</f>
        <v>0.9979232467311937</v>
      </c>
      <c r="I87" s="8" t="s">
        <v>229</v>
      </c>
      <c r="J87" s="7"/>
      <c r="K87" s="7"/>
      <c r="L87" s="25">
        <f>L82</f>
        <v>0</v>
      </c>
      <c r="M87" s="25">
        <f>M82</f>
        <v>4800168.54344966</v>
      </c>
      <c r="N87" s="25">
        <f>M87</f>
        <v>4800168.54344966</v>
      </c>
      <c r="O87" s="25">
        <f>N87</f>
        <v>4800168.54344966</v>
      </c>
      <c r="P87" s="45">
        <f>P82</f>
        <v>14400505.63034898</v>
      </c>
      <c r="Q87" s="122"/>
      <c r="R87" s="122"/>
      <c r="S87" s="122"/>
    </row>
    <row r="88">
      <c r="G88" s="167"/>
      <c r="I88" s="8" t="s">
        <v>230</v>
      </c>
      <c r="J88" s="7"/>
      <c r="K88" s="7"/>
      <c r="L88" s="25">
        <f>L84</f>
        <v>-2078014.328558329</v>
      </c>
      <c r="M88" s="25">
        <f>$L$88+SUM($M$87:M87)</f>
        <v>2722154.2148913308</v>
      </c>
      <c r="N88" s="25">
        <f>$L$88+SUM($M$87:N87)</f>
        <v>7522322.75834099</v>
      </c>
      <c r="O88" s="25">
        <f>$L$88+SUM($M$87:O87)</f>
        <v>12322491.301790651</v>
      </c>
      <c r="P88" s="45"/>
      <c r="Q88" s="122"/>
      <c r="R88" s="122"/>
      <c r="S88" s="122"/>
      <c r="V88" s="59">
        <f>M82/12</f>
        <v>400014.04528747167</v>
      </c>
    </row>
    <row r="89" ht="15.6" customHeight="1">
      <c r="G89" s="168">
        <f>G83+G84*G87</f>
        <v>280589.16800815077</v>
      </c>
      <c r="I89" s="8"/>
      <c r="J89" s="7"/>
      <c r="K89" s="7"/>
      <c r="L89" s="25"/>
      <c r="M89" s="25"/>
      <c r="N89" s="25"/>
      <c r="O89" s="25"/>
      <c r="P89" s="45"/>
      <c r="Q89" s="74"/>
      <c r="R89" s="122"/>
      <c r="S89" s="122"/>
      <c r="V89" s="113">
        <f>L84/V88</f>
        <v>-5.1948534133719129</v>
      </c>
    </row>
    <row r="90" ht="15">
      <c r="I90" s="8"/>
      <c r="J90" s="7"/>
      <c r="K90" s="7"/>
      <c r="L90" s="25"/>
      <c r="M90" s="25"/>
      <c r="N90" s="25"/>
      <c r="O90" s="25"/>
      <c r="P90" s="45"/>
      <c r="Q90" s="122"/>
      <c r="R90" s="122"/>
      <c r="S90" s="122"/>
    </row>
    <row r="91" ht="13.95" customHeight="1">
      <c r="I91" s="37" t="s">
        <v>231</v>
      </c>
      <c r="J91" s="151"/>
      <c r="K91" s="151"/>
      <c r="L91" s="38">
        <f>(P82-P83)/P83</f>
        <v>4.7860619484308478</v>
      </c>
      <c r="M91" s="176">
        <f>IF(J11&lt;L19,(J16+(L16-J16)*((J11-J19)/(L19-J19))),IF(J11&gt;P19,(P16+(R16-P16)*((J11-P19)/(R19-P19))),L91))</f>
        <v>4.7860619484308478</v>
      </c>
      <c r="N91" s="159"/>
      <c r="O91" s="25"/>
      <c r="P91" s="45"/>
      <c r="Q91" s="122"/>
      <c r="R91" s="122"/>
      <c r="S91" s="122"/>
    </row>
    <row r="92" ht="15">
      <c r="I92" s="39" t="s">
        <v>232</v>
      </c>
      <c r="J92" s="152"/>
      <c r="K92" s="152"/>
      <c r="L92" s="40" t="e">
        <f>NPV(8%,L84:P84)</f>
        <v>#NAME?</v>
      </c>
      <c r="M92" s="173"/>
      <c r="N92" s="25"/>
      <c r="O92" s="25"/>
      <c r="P92" s="45"/>
      <c r="Q92" s="122"/>
      <c r="R92" s="122"/>
      <c r="S92" s="122"/>
    </row>
    <row r="93" ht="15">
      <c r="I93" s="39" t="s">
        <v>233</v>
      </c>
      <c r="J93" s="152"/>
      <c r="K93" s="152"/>
      <c r="L93" s="83" t="e">
        <f ref="L93:L93" t="array">(INDEX(K86:N86,MATCH(TRUE,L88:O88&gt;0,0)))+(ABS(INDEX(K88:N88,MATCH(TRUE,L88:O88&gt;0,0)))/(INDEX(L87:O87,MATCH(TRUE,L88:O88&gt;0,0))))</f>
        <v>#VALUE!</v>
      </c>
      <c r="M93" s="175" t="e">
        <f>L93*12</f>
        <v>#VALUE!</v>
      </c>
      <c r="N93" s="158"/>
      <c r="O93" s="25"/>
      <c r="P93" s="45"/>
      <c r="Q93" s="122"/>
      <c r="R93" s="74"/>
      <c r="S93" s="122"/>
    </row>
    <row r="94" ht="15">
      <c r="I94" s="41" t="s">
        <v>234</v>
      </c>
      <c r="J94" s="153"/>
      <c r="K94" s="153"/>
      <c r="L94" s="42">
        <f>P83</f>
        <v>2488826.7285583294</v>
      </c>
      <c r="M94" s="174"/>
      <c r="N94" s="25"/>
      <c r="O94" s="25"/>
      <c r="P94" s="45"/>
      <c r="Q94" s="122"/>
      <c r="R94" s="74"/>
      <c r="S94" s="122"/>
    </row>
    <row r="95" ht="15">
      <c r="I95" s="16"/>
      <c r="J95" s="11"/>
      <c r="K95" s="11"/>
      <c r="L95" s="24"/>
      <c r="M95" s="11"/>
      <c r="N95" s="160"/>
      <c r="O95" s="11"/>
      <c r="P95" s="17"/>
      <c r="Q95" s="122"/>
      <c r="R95" s="74"/>
      <c r="S95" s="122"/>
    </row>
    <row r="96">
      <c r="I96" s="7"/>
      <c r="J96" s="7"/>
      <c r="K96" s="7"/>
      <c r="L96" s="23"/>
      <c r="M96" s="7"/>
      <c r="N96" s="7"/>
      <c r="O96" s="7"/>
      <c r="P96" s="7"/>
      <c r="Q96" s="122"/>
      <c r="R96" s="74"/>
      <c r="S96" s="122"/>
    </row>
    <row r="97">
      <c r="I97" s="7"/>
      <c r="J97" s="7"/>
      <c r="K97" s="7"/>
      <c r="L97" s="23"/>
      <c r="M97" s="7"/>
      <c r="N97" s="7"/>
      <c r="O97" s="7"/>
      <c r="P97" s="7"/>
      <c r="Q97" s="122"/>
      <c r="R97" s="122"/>
      <c r="S97" s="122"/>
    </row>
    <row r="98" ht="15">
      <c r="L98" s="21"/>
      <c r="Q98" s="122"/>
      <c r="R98" s="122"/>
      <c r="S98" s="122"/>
    </row>
    <row r="99">
      <c r="I99" s="15" t="s">
        <v>218</v>
      </c>
      <c r="J99" s="147"/>
      <c r="K99" s="147"/>
      <c r="L99" s="22" t="s">
        <v>219</v>
      </c>
      <c r="M99" s="141" t="s">
        <v>220</v>
      </c>
      <c r="N99" s="141" t="s">
        <v>221</v>
      </c>
      <c r="O99" s="141" t="s">
        <v>222</v>
      </c>
      <c r="P99" s="142" t="s">
        <v>223</v>
      </c>
      <c r="Q99" s="122"/>
      <c r="R99" s="122"/>
      <c r="S99" s="122"/>
    </row>
    <row r="100">
      <c r="I100" s="19" t="s">
        <v>203</v>
      </c>
      <c r="J100" s="49"/>
      <c r="K100" s="49"/>
      <c r="L100" s="27">
        <f>K52</f>
        <v>1106071.8514365766</v>
      </c>
      <c r="M100" s="27">
        <f>M85</f>
        <v>0</v>
      </c>
      <c r="N100" s="27">
        <f>N85</f>
        <v>0</v>
      </c>
      <c r="O100" s="27">
        <f>O85</f>
        <v>0</v>
      </c>
      <c r="P100" s="33">
        <f>SUM(L100:O100)</f>
        <v>1106071.8514365766</v>
      </c>
      <c r="Q100" s="122"/>
      <c r="R100" s="122"/>
      <c r="S100" s="122"/>
    </row>
    <row r="101">
      <c r="I101" s="19" t="s">
        <v>204</v>
      </c>
      <c r="J101" s="49"/>
      <c r="K101" s="49"/>
      <c r="L101" s="27">
        <f ref="L101:L102" t="shared" si="22">K53</f>
        <v>2595184.04281372</v>
      </c>
      <c r="M101" s="27">
        <v>0</v>
      </c>
      <c r="N101" s="27">
        <v>0</v>
      </c>
      <c r="O101" s="27"/>
      <c r="P101" s="33">
        <f>SUM(L101:O101)</f>
        <v>2595184.04281372</v>
      </c>
      <c r="Q101" s="122"/>
      <c r="R101" s="122"/>
      <c r="S101" s="122"/>
    </row>
    <row r="102" ht="15">
      <c r="I102" s="19" t="s">
        <v>205</v>
      </c>
      <c r="J102" s="49"/>
      <c r="K102" s="49"/>
      <c r="L102" s="27">
        <f t="shared" si="22"/>
        <v>558381.09062523337</v>
      </c>
      <c r="M102" s="32">
        <f>L102</f>
        <v>558381.09062523337</v>
      </c>
      <c r="N102" s="32">
        <f>M102</f>
        <v>558381.09062523337</v>
      </c>
      <c r="O102" s="32"/>
      <c r="P102" s="33">
        <f>SUM(L102:O102)</f>
        <v>1675143.2718757</v>
      </c>
      <c r="Q102" s="122"/>
      <c r="R102" s="122"/>
      <c r="S102" s="122"/>
    </row>
    <row r="103" ht="15">
      <c r="I103" s="51" t="s">
        <v>218</v>
      </c>
      <c r="J103" s="148"/>
      <c r="K103" s="148"/>
      <c r="L103" s="52">
        <f>SUM(L100:L102)</f>
        <v>4259636.98487553</v>
      </c>
      <c r="M103" s="52">
        <f>SUM(M100:M102)</f>
        <v>558381.09062523337</v>
      </c>
      <c r="N103" s="52">
        <f>SUM(N100:N102)</f>
        <v>558381.09062523337</v>
      </c>
      <c r="O103" s="52">
        <f>SUM(O100:O102)</f>
        <v>0</v>
      </c>
      <c r="P103" s="53">
        <f>SUM(P100:P102)</f>
        <v>5376399.166125997</v>
      </c>
      <c r="Q103" s="122"/>
      <c r="R103" s="122"/>
      <c r="S103" s="122"/>
    </row>
    <row r="104" ht="15">
      <c r="I104" s="28" t="s">
        <v>224</v>
      </c>
      <c r="J104" s="149"/>
      <c r="K104" s="149"/>
      <c r="L104" s="48">
        <v>0</v>
      </c>
      <c r="M104" s="48">
        <v>0</v>
      </c>
      <c r="N104" s="48">
        <v>0</v>
      </c>
      <c r="O104" s="48">
        <v>0</v>
      </c>
      <c r="P104" s="54">
        <v>0</v>
      </c>
      <c r="Q104" s="122"/>
      <c r="R104" s="122"/>
      <c r="S104" s="122"/>
    </row>
    <row r="105" ht="15.6">
      <c r="I105" s="50" t="s">
        <v>225</v>
      </c>
      <c r="J105" s="150"/>
      <c r="K105" s="150"/>
      <c r="L105" s="55">
        <f>L103*(1+L104)</f>
        <v>4259636.98487553</v>
      </c>
      <c r="M105" s="55">
        <f ref="M105:P105" t="shared" si="23">M103*(1+M104)</f>
        <v>558381.09062523337</v>
      </c>
      <c r="N105" s="55">
        <f t="shared" si="23"/>
        <v>558381.09062523337</v>
      </c>
      <c r="O105" s="55">
        <f t="shared" si="23"/>
        <v>0</v>
      </c>
      <c r="P105" s="56">
        <f t="shared" si="23"/>
        <v>5376399.166125997</v>
      </c>
      <c r="Q105" s="122"/>
      <c r="R105" s="122"/>
      <c r="S105" s="122"/>
    </row>
    <row r="106">
      <c r="I106" s="49"/>
      <c r="J106" s="49"/>
      <c r="K106" s="49"/>
      <c r="L106" s="32"/>
      <c r="M106" s="26"/>
      <c r="N106" s="20"/>
      <c r="O106" s="20"/>
      <c r="P106" s="20"/>
      <c r="Q106" s="122"/>
      <c r="R106" s="122"/>
      <c r="S106" s="122"/>
    </row>
    <row r="107" ht="15">
      <c r="L107" s="21"/>
      <c r="Q107" s="122"/>
      <c r="R107" s="122"/>
      <c r="S107" s="122"/>
    </row>
    <row r="108" ht="15">
      <c r="I108" s="35" t="s">
        <v>226</v>
      </c>
      <c r="J108" s="141"/>
      <c r="K108" s="141"/>
      <c r="L108" s="141" t="s">
        <v>219</v>
      </c>
      <c r="M108" s="141" t="s">
        <v>220</v>
      </c>
      <c r="N108" s="141" t="s">
        <v>221</v>
      </c>
      <c r="O108" s="141" t="s">
        <v>222</v>
      </c>
      <c r="P108" s="142" t="s">
        <v>223</v>
      </c>
      <c r="Q108" s="122"/>
      <c r="R108" s="122"/>
      <c r="S108" s="122"/>
      <c r="V108" s="0">
        <f>L111/M111</f>
        <v>-1.2376443799695711</v>
      </c>
    </row>
    <row r="109">
      <c r="I109" s="34" t="s">
        <v>197</v>
      </c>
      <c r="J109" s="78"/>
      <c r="K109" s="78"/>
      <c r="L109" s="43"/>
      <c r="M109" s="162">
        <f>K68</f>
        <v>4000110.4385824054</v>
      </c>
      <c r="N109" s="44">
        <f>M109</f>
        <v>4000110.4385824054</v>
      </c>
      <c r="O109" s="44">
        <f>N109</f>
        <v>4000110.4385824054</v>
      </c>
      <c r="P109" s="10">
        <f>SUM(L109:O109)</f>
        <v>12000331.315747216</v>
      </c>
      <c r="Q109" s="122"/>
      <c r="R109" s="122"/>
      <c r="S109" s="122"/>
      <c r="U109" s="84"/>
    </row>
    <row r="110" ht="15">
      <c r="I110" s="13" t="s">
        <v>198</v>
      </c>
      <c r="J110" s="100"/>
      <c r="K110" s="100"/>
      <c r="L110" s="36">
        <f>L103</f>
        <v>4259636.98487553</v>
      </c>
      <c r="M110" s="36">
        <f ref="M110:O110" t="shared" si="24">M103</f>
        <v>558381.09062523337</v>
      </c>
      <c r="N110" s="36">
        <f t="shared" si="24"/>
        <v>558381.09062523337</v>
      </c>
      <c r="O110" s="36">
        <f t="shared" si="24"/>
        <v>0</v>
      </c>
      <c r="P110" s="103">
        <f>SUM(L110:O110)</f>
        <v>5376399.166125996</v>
      </c>
      <c r="Q110" s="122"/>
      <c r="R110" s="122"/>
      <c r="S110" s="122"/>
      <c r="T110" s="0" t="s">
        <v>197</v>
      </c>
      <c r="U110" s="114"/>
      <c r="V110" s="0">
        <v>4003543.7255982729</v>
      </c>
      <c r="W110" s="0">
        <v>4003543.7255982729</v>
      </c>
      <c r="X110" s="0">
        <v>4003543.7255982729</v>
      </c>
      <c r="Y110" s="0">
        <v>12010631.17679482</v>
      </c>
    </row>
    <row r="111" ht="15">
      <c r="I111" s="8" t="s">
        <v>227</v>
      </c>
      <c r="J111" s="7"/>
      <c r="K111" s="7"/>
      <c r="L111" s="25">
        <f>L109-L110</f>
        <v>-4259636.98487553</v>
      </c>
      <c r="M111" s="25">
        <f ref="M111:P111" t="shared" si="25">M109-M110</f>
        <v>3441729.347957172</v>
      </c>
      <c r="N111" s="25">
        <f t="shared" si="25"/>
        <v>3441729.347957172</v>
      </c>
      <c r="O111" s="25">
        <f t="shared" si="25"/>
        <v>4000110.4385824054</v>
      </c>
      <c r="P111" s="45">
        <f t="shared" si="25"/>
        <v>6623932.14962122</v>
      </c>
      <c r="Q111" s="122"/>
      <c r="R111" s="122"/>
      <c r="S111" s="122"/>
      <c r="T111" s="0" t="s">
        <v>198</v>
      </c>
      <c r="U111" s="114">
        <v>4261872.8</v>
      </c>
      <c r="V111" s="0">
        <v>558406.79999999993</v>
      </c>
      <c r="W111" s="0">
        <v>558406.79999999993</v>
      </c>
      <c r="X111" s="0">
        <v>0</v>
      </c>
      <c r="Y111" s="0">
        <v>5378686.4</v>
      </c>
    </row>
    <row r="112">
      <c r="I112" s="8"/>
      <c r="J112" s="7"/>
      <c r="K112" s="7"/>
      <c r="L112" s="25"/>
      <c r="M112" s="25"/>
      <c r="N112" s="25"/>
      <c r="O112" s="25"/>
      <c r="P112" s="45"/>
      <c r="Q112" s="122"/>
      <c r="R112" s="122"/>
      <c r="S112" s="122"/>
      <c r="T112" s="0" t="s">
        <v>227</v>
      </c>
      <c r="U112" s="0">
        <v>-4261872.8</v>
      </c>
      <c r="V112" s="0">
        <v>3445136.9255982731</v>
      </c>
      <c r="W112" s="0">
        <v>3445136.9255982731</v>
      </c>
      <c r="X112" s="0">
        <v>4003543.7255982729</v>
      </c>
      <c r="Y112" s="0">
        <v>6631944.7767948192</v>
      </c>
    </row>
    <row r="113">
      <c r="I113" s="8" t="s">
        <v>228</v>
      </c>
      <c r="J113" s="7"/>
      <c r="K113" s="7"/>
      <c r="L113" s="81">
        <v>0</v>
      </c>
      <c r="M113" s="81">
        <v>1</v>
      </c>
      <c r="N113" s="81">
        <v>2</v>
      </c>
      <c r="O113" s="81">
        <v>3</v>
      </c>
      <c r="P113" s="82"/>
      <c r="Q113" s="122"/>
      <c r="R113" s="122"/>
      <c r="S113" s="122"/>
    </row>
    <row r="114">
      <c r="I114" s="8" t="s">
        <v>229</v>
      </c>
      <c r="J114" s="7"/>
      <c r="K114" s="7"/>
      <c r="L114" s="25">
        <f>L109</f>
        <v>0</v>
      </c>
      <c r="M114" s="25">
        <f>M109</f>
        <v>4000110.4385824054</v>
      </c>
      <c r="N114" s="25">
        <f ref="N114:O114" t="shared" si="26">N109</f>
        <v>4000110.4385824054</v>
      </c>
      <c r="O114" s="25">
        <f t="shared" si="26"/>
        <v>4000110.4385824054</v>
      </c>
      <c r="P114" s="45">
        <f>P109</f>
        <v>12000331.315747216</v>
      </c>
      <c r="Q114" s="122"/>
      <c r="R114" s="122"/>
      <c r="S114" s="122"/>
    </row>
    <row r="115">
      <c r="I115" s="8" t="s">
        <v>230</v>
      </c>
      <c r="J115" s="7"/>
      <c r="K115" s="7"/>
      <c r="L115" s="25">
        <f>L111</f>
        <v>-4259636.98487553</v>
      </c>
      <c r="M115" s="25">
        <f>$L$115+SUM($M$114:M114)</f>
        <v>-259526.54629312456</v>
      </c>
      <c r="N115" s="25">
        <f>$L$115+SUM($M$114:N114)</f>
        <v>3740583.8922892809</v>
      </c>
      <c r="O115" s="25">
        <f>$L$115+SUM($M$114:O114)</f>
        <v>7740694.3308716863</v>
      </c>
      <c r="P115" s="45"/>
      <c r="Q115" s="122"/>
      <c r="R115" s="122"/>
      <c r="S115" s="122"/>
      <c r="V115" s="59">
        <f>M109/12</f>
        <v>333342.53654853377</v>
      </c>
    </row>
    <row r="116" ht="13.8" customHeight="1">
      <c r="I116" s="8"/>
      <c r="J116" s="7"/>
      <c r="K116" s="7"/>
      <c r="L116" s="25"/>
      <c r="M116" s="25"/>
      <c r="N116" s="25"/>
      <c r="O116" s="25"/>
      <c r="P116" s="45"/>
      <c r="Q116" s="74"/>
      <c r="R116" s="122"/>
      <c r="S116" s="122"/>
      <c r="V116" s="113">
        <f>L111/V115</f>
        <v>-12.778558143164961</v>
      </c>
    </row>
    <row r="117" ht="13.8" customHeight="1">
      <c r="I117" s="8" t="s">
        <v>235</v>
      </c>
      <c r="J117" s="7"/>
      <c r="K117" s="7"/>
      <c r="L117" s="25"/>
      <c r="M117" s="172">
        <f>IF($J$11&lt;$J$19,0,IF(AND($J$11&gt;=$J$19,$J$11&lt;$L$19),K16,IF(AND($J$11&gt;=$L$19,$J$11&lt;$N$19),M16,IF(AND($J$11&gt;=$N$19,$J$11&lt;$P$19),O16,IF(AND($J$11&gt;=$P$19,$J$11&lt;=$R$19),Q16,0)))))</f>
        <v>0.64846390039673518</v>
      </c>
      <c r="N117" s="25"/>
      <c r="O117" s="25"/>
      <c r="P117" s="45"/>
      <c r="Q117" s="74"/>
      <c r="R117" s="122"/>
      <c r="S117" s="122"/>
      <c r="V117" s="113"/>
    </row>
    <row r="118">
      <c r="I118" s="8" t="s">
        <v>236</v>
      </c>
      <c r="J118" s="7"/>
      <c r="K118" s="7"/>
      <c r="L118" s="25"/>
      <c r="M118" s="172">
        <f>IF($J$11&lt;$J$19,0,IF(AND($J$11&gt;=$J$19,$J$11&lt;$L$19),M16,IF(AND($J$11&gt;=$L$19,$J$11&lt;$N$19),O16,IF(AND($J$11&gt;=$N$19,$J$11&lt;$P$19),Q16,IF(AND($J$11&gt;=$P$19,$J$11&lt;=$R$19),S16,0)))))</f>
        <v>1.2330045449005576</v>
      </c>
      <c r="N118" s="25"/>
      <c r="O118" s="25"/>
      <c r="P118" s="161">
        <f>P111/P110</f>
        <v>1.2320387577163738</v>
      </c>
      <c r="Q118" s="122"/>
      <c r="R118" s="122"/>
      <c r="S118" s="122"/>
    </row>
    <row r="119" ht="15">
      <c r="I119" s="8"/>
      <c r="J119" s="7"/>
      <c r="K119" s="7"/>
      <c r="L119" s="25"/>
      <c r="M119" s="25"/>
      <c r="N119" s="25"/>
      <c r="O119" s="25"/>
      <c r="P119" s="161"/>
      <c r="Q119" s="122"/>
      <c r="R119" s="122"/>
      <c r="S119" s="122"/>
    </row>
    <row r="120" ht="13.95" customHeight="1">
      <c r="I120" s="37" t="s">
        <v>231</v>
      </c>
      <c r="J120" s="151"/>
      <c r="K120" s="151"/>
      <c r="L120" s="38">
        <f>(P109-P110)/P110</f>
        <v>1.2320387577163738</v>
      </c>
      <c r="M120" s="178">
        <f>M117+ ((M118-M117)*(($J$11-$E$29)/($G$29-$E$29)))</f>
        <v>1.231790598206334</v>
      </c>
      <c r="N120" s="159"/>
      <c r="O120" s="25"/>
      <c r="P120" s="45"/>
      <c r="Q120" s="122"/>
      <c r="R120" s="122"/>
      <c r="S120" s="122"/>
    </row>
    <row r="121" ht="15">
      <c r="I121" s="39" t="s">
        <v>232</v>
      </c>
      <c r="J121" s="152"/>
      <c r="K121" s="152"/>
      <c r="L121" s="40" t="e">
        <f>NPV(8%,L111:P111)</f>
        <v>#NAME?</v>
      </c>
      <c r="M121" s="173"/>
      <c r="N121" s="25"/>
      <c r="O121" s="25"/>
      <c r="P121" s="45"/>
      <c r="Q121" s="122"/>
      <c r="R121" s="122"/>
      <c r="S121" s="122"/>
    </row>
    <row r="122" ht="15">
      <c r="I122" s="39" t="s">
        <v>237</v>
      </c>
      <c r="J122" s="152"/>
      <c r="K122" s="152"/>
      <c r="L122" s="83" t="e">
        <f ref="L122:L122" t="array">(INDEX(K113:N113,MATCH(TRUE,L115:O115&gt;0,0)))+(ABS(INDEX(K115:N115,MATCH(TRUE,L115:O115&gt;0,0)))/(INDEX(L114:O114,MATCH(TRUE,L115:O115&gt;0,0))))</f>
        <v>#VALUE!</v>
      </c>
      <c r="M122" s="177" t="e">
        <f>L122*12</f>
        <v>#VALUE!</v>
      </c>
      <c r="N122" s="158"/>
      <c r="O122" s="25"/>
      <c r="P122" s="45"/>
      <c r="Q122" s="74"/>
      <c r="R122" s="122"/>
      <c r="S122" s="122"/>
    </row>
    <row r="123" ht="15">
      <c r="I123" s="41" t="s">
        <v>234</v>
      </c>
      <c r="J123" s="153"/>
      <c r="K123" s="153"/>
      <c r="L123" s="42">
        <f>P110</f>
        <v>5376399.166125996</v>
      </c>
      <c r="M123" s="174"/>
      <c r="N123" s="25"/>
      <c r="O123" s="25"/>
      <c r="P123" s="45"/>
      <c r="Q123" s="122"/>
      <c r="R123" s="122"/>
      <c r="S123" s="122"/>
    </row>
    <row r="124" ht="15">
      <c r="I124" s="16"/>
      <c r="J124" s="11"/>
      <c r="K124" s="11"/>
      <c r="L124" s="24"/>
      <c r="M124" s="11"/>
      <c r="N124" s="160"/>
      <c r="O124" s="11"/>
      <c r="P124" s="17"/>
      <c r="Q124" s="122"/>
      <c r="R124" s="122"/>
      <c r="S124" s="122"/>
    </row>
    <row r="125">
      <c r="I125" s="7"/>
      <c r="J125" s="7"/>
      <c r="K125" s="7"/>
      <c r="L125" s="23"/>
      <c r="M125" s="7"/>
      <c r="N125" s="7"/>
      <c r="O125" s="7"/>
      <c r="P125" s="7"/>
      <c r="Q125" s="122"/>
      <c r="R125" s="122"/>
      <c r="S125" s="122"/>
    </row>
    <row r="126" ht="15">
      <c r="L126" s="21"/>
    </row>
    <row r="127" ht="15" customHeight="1">
      <c r="I127" s="128" t="s">
        <v>238</v>
      </c>
      <c r="J127" s="102"/>
      <c r="K127" s="102" t="s">
        <v>239</v>
      </c>
      <c r="L127" s="129" t="s">
        <v>240</v>
      </c>
      <c r="M127" s="122"/>
      <c r="N127" s="122"/>
      <c r="Q127" s="122"/>
      <c r="R127" s="122"/>
      <c r="S127" s="122"/>
    </row>
    <row r="128" ht="15" customHeight="1">
      <c r="I128" s="8" t="s">
        <v>2</v>
      </c>
      <c r="J128" s="7"/>
      <c r="K128" s="12">
        <v>1.1</v>
      </c>
      <c r="L128" s="205">
        <f>K128</f>
        <v>1.1</v>
      </c>
      <c r="M128" s="122"/>
      <c r="N128" s="122"/>
      <c r="Q128" s="122"/>
      <c r="R128" s="122"/>
      <c r="S128" s="122"/>
    </row>
    <row r="129" ht="15" customHeight="1">
      <c r="I129" s="8" t="s">
        <v>21</v>
      </c>
      <c r="J129" s="7"/>
      <c r="K129" s="12">
        <v>1.05</v>
      </c>
      <c r="L129" s="205">
        <f ref="L129:L131" t="shared" si="28">K129</f>
        <v>1.05</v>
      </c>
      <c r="M129" s="122"/>
      <c r="N129" s="122"/>
      <c r="Q129" s="122"/>
      <c r="R129" s="122"/>
      <c r="S129" s="122"/>
    </row>
    <row r="130" ht="15.6" customHeight="1">
      <c r="I130" s="8" t="s">
        <v>15</v>
      </c>
      <c r="J130" s="7"/>
      <c r="K130" s="12">
        <v>1</v>
      </c>
      <c r="L130" s="205">
        <f t="shared" si="28"/>
        <v>1</v>
      </c>
      <c r="M130" s="122"/>
      <c r="N130" s="122"/>
      <c r="O130" s="62"/>
      <c r="Q130" s="122"/>
      <c r="R130" s="122"/>
      <c r="S130" s="122"/>
    </row>
    <row r="131" ht="15" customHeight="1">
      <c r="I131" s="16" t="s">
        <v>241</v>
      </c>
      <c r="J131" s="11"/>
      <c r="K131" s="206">
        <v>0.9</v>
      </c>
      <c r="L131" s="207">
        <f t="shared" si="28"/>
        <v>0.9</v>
      </c>
      <c r="M131" s="122"/>
      <c r="N131" s="122"/>
      <c r="O131" s="62"/>
      <c r="P131" s="122"/>
      <c r="Q131" s="122"/>
      <c r="R131" s="122"/>
      <c r="S131" s="122"/>
    </row>
    <row r="132" ht="15" customHeight="1">
      <c r="I132" s="7"/>
      <c r="J132" s="7"/>
      <c r="K132" s="12"/>
      <c r="L132" s="208"/>
      <c r="M132" s="122"/>
      <c r="N132" s="122"/>
      <c r="O132" s="62"/>
      <c r="P132" s="122"/>
      <c r="Q132" s="122"/>
      <c r="R132" s="122"/>
      <c r="S132" s="122"/>
    </row>
    <row r="133" ht="15" customHeight="1">
      <c r="I133" s="108" t="s">
        <v>242</v>
      </c>
      <c r="J133" s="154"/>
      <c r="K133" s="154" t="s">
        <v>239</v>
      </c>
      <c r="L133" s="130" t="s">
        <v>240</v>
      </c>
      <c r="M133" s="122"/>
      <c r="N133" s="122"/>
      <c r="O133" s="122"/>
      <c r="P133" s="122"/>
      <c r="Q133" s="122"/>
      <c r="R133" s="122"/>
      <c r="S133" s="122"/>
    </row>
    <row r="134" ht="15" customHeight="1">
      <c r="I134" s="8" t="s">
        <v>14</v>
      </c>
      <c r="J134" s="7"/>
      <c r="K134" s="84">
        <v>1.05</v>
      </c>
      <c r="L134" s="205">
        <f>K134</f>
        <v>1.05</v>
      </c>
      <c r="M134" s="122"/>
      <c r="N134" s="122"/>
      <c r="O134" s="122"/>
      <c r="P134" s="122"/>
      <c r="Q134" s="122"/>
      <c r="R134" s="122"/>
      <c r="S134" s="122"/>
    </row>
    <row r="135" ht="15" customHeight="1">
      <c r="I135" s="131" t="s">
        <v>4</v>
      </c>
      <c r="J135" s="136"/>
      <c r="K135" s="12">
        <v>1.02</v>
      </c>
      <c r="L135" s="205">
        <f ref="L135:L141" t="shared" si="29">K135</f>
        <v>1.02</v>
      </c>
      <c r="M135" s="122"/>
      <c r="N135" s="122"/>
      <c r="O135" s="122"/>
      <c r="P135" s="122"/>
      <c r="Q135" s="122"/>
      <c r="R135" s="122"/>
      <c r="S135" s="122"/>
    </row>
    <row r="136" ht="15" customHeight="1">
      <c r="I136" s="8" t="s">
        <v>16</v>
      </c>
      <c r="J136" s="7"/>
      <c r="K136" s="12">
        <v>1.04</v>
      </c>
      <c r="L136" s="205">
        <f t="shared" si="29"/>
        <v>1.04</v>
      </c>
      <c r="M136" s="122"/>
      <c r="N136" s="122"/>
      <c r="O136" s="210"/>
      <c r="P136" s="122"/>
      <c r="Q136" s="122"/>
      <c r="R136" s="122"/>
      <c r="S136" s="122"/>
    </row>
    <row r="137" ht="15" customHeight="1">
      <c r="I137" s="131" t="s">
        <v>17</v>
      </c>
      <c r="J137" s="136"/>
      <c r="K137" s="12">
        <v>1.02</v>
      </c>
      <c r="L137" s="205">
        <f t="shared" si="29"/>
        <v>1.02</v>
      </c>
      <c r="M137" s="122"/>
      <c r="N137" s="122"/>
      <c r="O137" s="122"/>
      <c r="P137" s="122"/>
      <c r="Q137" s="122"/>
      <c r="R137" s="122"/>
      <c r="S137" s="122"/>
    </row>
    <row r="138" ht="15" customHeight="1">
      <c r="I138" s="8" t="s">
        <v>19</v>
      </c>
      <c r="J138" s="7"/>
      <c r="K138" s="12">
        <v>1.01</v>
      </c>
      <c r="L138" s="205">
        <f t="shared" si="29"/>
        <v>1.01</v>
      </c>
      <c r="M138" s="122"/>
      <c r="N138" s="122"/>
      <c r="O138" s="122"/>
      <c r="P138" s="122"/>
      <c r="Q138" s="122"/>
      <c r="R138" s="122"/>
      <c r="S138" s="122"/>
    </row>
    <row r="139" ht="15" customHeight="1">
      <c r="I139" s="131" t="s">
        <v>20</v>
      </c>
      <c r="J139" s="136"/>
      <c r="K139" s="12">
        <v>1</v>
      </c>
      <c r="L139" s="205">
        <f t="shared" si="29"/>
        <v>1</v>
      </c>
      <c r="M139" s="122"/>
      <c r="N139" s="122"/>
      <c r="O139" s="122"/>
      <c r="P139" s="122"/>
      <c r="Q139" s="122"/>
      <c r="R139" s="122"/>
      <c r="S139" s="122"/>
    </row>
    <row r="140" ht="15" customHeight="1">
      <c r="I140" s="8" t="s">
        <v>22</v>
      </c>
      <c r="J140" s="7"/>
      <c r="K140" s="12">
        <v>1.02</v>
      </c>
      <c r="L140" s="205">
        <f t="shared" si="29"/>
        <v>1.02</v>
      </c>
      <c r="M140" s="122"/>
      <c r="N140" s="122"/>
      <c r="O140" s="122"/>
      <c r="P140" s="122"/>
      <c r="Q140" s="122"/>
      <c r="R140" s="122"/>
      <c r="S140" s="122"/>
    </row>
    <row r="141" ht="15" customHeight="1">
      <c r="I141" s="132" t="s">
        <v>23</v>
      </c>
      <c r="J141" s="137"/>
      <c r="K141" s="206">
        <v>1.01</v>
      </c>
      <c r="L141" s="207">
        <f t="shared" si="29"/>
        <v>1.01</v>
      </c>
      <c r="M141" s="122"/>
      <c r="N141" s="122"/>
      <c r="O141" s="122"/>
      <c r="P141" s="122"/>
      <c r="Q141" s="122"/>
      <c r="R141" s="122"/>
      <c r="S141" s="122"/>
    </row>
    <row r="142" ht="16.8" customHeight="1">
      <c r="L142" s="122"/>
      <c r="M142" s="122"/>
      <c r="N142" s="122"/>
      <c r="O142" s="122"/>
      <c r="P142" s="122"/>
      <c r="Q142" s="122"/>
      <c r="R142" s="122"/>
      <c r="S142" s="122"/>
    </row>
    <row r="143" ht="15" customHeight="1">
      <c r="I143" s="133" t="s">
        <v>6</v>
      </c>
      <c r="J143" s="134"/>
      <c r="K143" s="134" t="s">
        <v>239</v>
      </c>
      <c r="L143" s="134" t="s">
        <v>243</v>
      </c>
      <c r="M143" s="135" t="s">
        <v>240</v>
      </c>
      <c r="N143" s="122"/>
      <c r="O143" s="122"/>
      <c r="P143" s="210"/>
      <c r="Q143" s="122"/>
      <c r="R143" s="122"/>
      <c r="S143" s="122"/>
    </row>
    <row r="144" ht="15" customHeight="1">
      <c r="I144" s="8" t="s">
        <v>24</v>
      </c>
      <c r="J144" s="7"/>
      <c r="K144" s="12">
        <v>1</v>
      </c>
      <c r="L144" s="208">
        <v>1</v>
      </c>
      <c r="M144" s="205">
        <v>1</v>
      </c>
      <c r="N144" s="122"/>
      <c r="O144" s="122"/>
      <c r="P144" s="122"/>
      <c r="Q144" s="122"/>
      <c r="R144" s="122"/>
      <c r="S144" s="122"/>
    </row>
    <row r="145" ht="15" customHeight="1">
      <c r="I145" s="8" t="s">
        <v>7</v>
      </c>
      <c r="J145" s="7"/>
      <c r="K145" s="12">
        <v>1.15</v>
      </c>
      <c r="L145" s="208">
        <v>1.1</v>
      </c>
      <c r="M145" s="205">
        <v>1.2</v>
      </c>
      <c r="N145" s="122"/>
      <c r="O145" s="122"/>
      <c r="P145" s="122"/>
      <c r="Q145" s="122"/>
      <c r="R145" s="122"/>
      <c r="S145" s="122"/>
    </row>
    <row r="146" ht="15" customHeight="1">
      <c r="I146" s="16" t="s">
        <v>25</v>
      </c>
      <c r="J146" s="11"/>
      <c r="K146" s="206">
        <v>1.3</v>
      </c>
      <c r="L146" s="209">
        <v>1.2</v>
      </c>
      <c r="M146" s="207">
        <v>1.3</v>
      </c>
      <c r="N146" s="122"/>
      <c r="O146" s="122"/>
      <c r="P146" s="122"/>
      <c r="Q146" s="122"/>
      <c r="R146" s="122"/>
      <c r="S146" s="122"/>
    </row>
    <row r="147" ht="15" customHeight="1">
      <c r="L147" s="122"/>
      <c r="M147" s="122"/>
      <c r="N147" s="122"/>
      <c r="O147" s="122"/>
      <c r="P147" s="122"/>
      <c r="Q147" s="122"/>
      <c r="R147" s="122"/>
      <c r="S147" s="122"/>
    </row>
    <row r="148" ht="15">
      <c r="I148" s="7"/>
      <c r="J148" s="7"/>
      <c r="K148" s="7"/>
      <c r="L148" s="23"/>
      <c r="M148" s="7"/>
      <c r="N148" s="7"/>
      <c r="O148" s="7"/>
      <c r="P148" s="7"/>
      <c r="Q148" s="122"/>
      <c r="R148" s="122"/>
      <c r="S148" s="122"/>
    </row>
    <row r="149">
      <c r="I149" s="108" t="s">
        <v>244</v>
      </c>
      <c r="J149" s="213" t="s">
        <v>168</v>
      </c>
      <c r="K149" s="214" t="s">
        <v>169</v>
      </c>
      <c r="L149" s="23"/>
      <c r="M149" s="7"/>
      <c r="N149" s="7"/>
      <c r="O149" s="7"/>
      <c r="P149" s="7"/>
      <c r="Q149" s="122"/>
      <c r="R149" s="122"/>
      <c r="S149" s="122"/>
    </row>
    <row r="150">
      <c r="I150" s="8" t="s">
        <v>245</v>
      </c>
      <c r="J150" s="14">
        <f>M91</f>
        <v>4.7860619484308478</v>
      </c>
      <c r="K150" s="86">
        <f>M120</f>
        <v>1.231790598206334</v>
      </c>
      <c r="L150" s="23"/>
      <c r="M150" s="7"/>
      <c r="N150" s="7"/>
      <c r="O150" s="7"/>
      <c r="P150" s="7"/>
      <c r="Q150" s="122"/>
      <c r="R150" s="122"/>
      <c r="S150" s="122"/>
    </row>
    <row r="151">
      <c r="I151" s="8" t="s">
        <v>246</v>
      </c>
      <c r="J151" s="12" t="e">
        <f>M93</f>
        <v>#VALUE!</v>
      </c>
      <c r="K151" s="221" t="e">
        <f>M122</f>
        <v>#VALUE!</v>
      </c>
      <c r="L151" s="23"/>
      <c r="M151" s="7"/>
      <c r="N151" s="7"/>
      <c r="O151" s="7"/>
      <c r="P151" s="7"/>
      <c r="Q151" s="122"/>
      <c r="R151" s="122"/>
      <c r="S151" s="122"/>
    </row>
    <row r="152" ht="15">
      <c r="I152" s="16"/>
      <c r="J152" s="11"/>
      <c r="K152" s="17"/>
      <c r="L152" s="23"/>
      <c r="M152" s="7"/>
      <c r="N152" s="7"/>
      <c r="O152" s="7"/>
      <c r="P152" s="7"/>
      <c r="Q152" s="122"/>
      <c r="R152" s="122"/>
      <c r="S152" s="122"/>
    </row>
    <row r="153" ht="15">
      <c r="I153" s="7"/>
      <c r="J153" s="7"/>
      <c r="K153" s="7"/>
      <c r="L153" s="23"/>
      <c r="M153" s="7"/>
      <c r="N153" s="7"/>
      <c r="O153" s="7"/>
      <c r="P153" s="7"/>
      <c r="Q153" s="122"/>
      <c r="R153" s="122"/>
      <c r="S153" s="122"/>
    </row>
    <row r="154">
      <c r="I154" s="108" t="s">
        <v>247</v>
      </c>
      <c r="J154" s="213" t="s">
        <v>168</v>
      </c>
      <c r="K154" s="214" t="s">
        <v>169</v>
      </c>
      <c r="L154" s="23"/>
      <c r="M154" s="7"/>
      <c r="N154" s="7"/>
      <c r="O154" s="7"/>
      <c r="P154" s="7"/>
      <c r="Q154" s="122"/>
      <c r="R154" s="122"/>
      <c r="S154" s="122"/>
    </row>
    <row r="155">
      <c r="I155" s="216" t="s">
        <v>248</v>
      </c>
      <c r="J155" s="156"/>
      <c r="K155" s="217"/>
      <c r="L155" s="23"/>
      <c r="M155" s="7"/>
      <c r="N155" s="7"/>
      <c r="O155" s="7"/>
      <c r="P155" s="7"/>
      <c r="Q155" s="122"/>
      <c r="R155" s="122"/>
      <c r="S155" s="122"/>
    </row>
    <row r="156">
      <c r="I156" s="8" t="s">
        <v>203</v>
      </c>
      <c r="J156" s="10">
        <f ref="J156:K158" t="shared" si="30">J52</f>
        <v>1256577</v>
      </c>
      <c r="K156" s="80">
        <f t="shared" si="30"/>
        <v>1106071.8514365766</v>
      </c>
      <c r="L156" s="23"/>
      <c r="M156" s="7"/>
      <c r="N156" s="7"/>
      <c r="O156" s="7"/>
      <c r="P156" s="7"/>
      <c r="Q156" s="122"/>
      <c r="R156" s="122"/>
      <c r="S156" s="122"/>
    </row>
    <row r="157">
      <c r="I157" s="8" t="s">
        <v>204</v>
      </c>
      <c r="J157" s="10">
        <f t="shared" si="30"/>
        <v>616031.12855832907</v>
      </c>
      <c r="K157" s="80">
        <f t="shared" si="30"/>
        <v>2595184.04281372</v>
      </c>
      <c r="L157" s="23"/>
      <c r="M157" s="7"/>
      <c r="N157" s="7"/>
      <c r="O157" s="7"/>
      <c r="P157" s="7"/>
      <c r="Q157" s="122"/>
      <c r="R157" s="122"/>
      <c r="S157" s="122"/>
    </row>
    <row r="158">
      <c r="I158" s="8" t="s">
        <v>205</v>
      </c>
      <c r="J158" s="10">
        <f t="shared" si="30"/>
        <v>205406.20000000004</v>
      </c>
      <c r="K158" s="80">
        <f t="shared" si="30"/>
        <v>558381.09062523337</v>
      </c>
      <c r="L158" s="23"/>
      <c r="M158" s="7"/>
      <c r="N158" s="7"/>
      <c r="O158" s="7"/>
      <c r="P158" s="7"/>
      <c r="Q158" s="122"/>
      <c r="R158" s="122"/>
      <c r="S158" s="122"/>
    </row>
    <row r="159">
      <c r="I159" s="216" t="s">
        <v>249</v>
      </c>
      <c r="J159" s="139"/>
      <c r="K159" s="140"/>
      <c r="L159" s="23"/>
      <c r="M159" s="7"/>
      <c r="N159" s="7"/>
      <c r="O159" s="7"/>
      <c r="P159" s="7"/>
      <c r="Q159" s="122"/>
      <c r="R159" s="122"/>
      <c r="S159" s="122"/>
    </row>
    <row r="160">
      <c r="I160" s="8" t="s">
        <v>206</v>
      </c>
      <c r="J160" s="10">
        <f ref="J160:K162" t="shared" si="31">J56</f>
        <v>357425.68252674479</v>
      </c>
      <c r="K160" s="80">
        <f t="shared" si="31"/>
        <v>280589.16800815077</v>
      </c>
      <c r="L160" s="23"/>
      <c r="M160" s="7"/>
      <c r="N160" s="7"/>
      <c r="O160" s="7"/>
      <c r="P160" s="7"/>
      <c r="Q160" s="122"/>
      <c r="R160" s="122"/>
      <c r="S160" s="122"/>
    </row>
    <row r="161">
      <c r="I161" s="8" t="s">
        <v>207</v>
      </c>
      <c r="J161" s="10">
        <f t="shared" si="31"/>
        <v>1618707.2210901682</v>
      </c>
      <c r="K161" s="80">
        <f t="shared" si="31"/>
        <v>1079580.0804890473</v>
      </c>
      <c r="L161" s="23"/>
      <c r="M161" s="7"/>
      <c r="N161" s="7"/>
      <c r="O161" s="7"/>
      <c r="P161" s="7"/>
      <c r="Q161" s="122"/>
      <c r="R161" s="122"/>
      <c r="S161" s="122"/>
    </row>
    <row r="162">
      <c r="I162" s="8" t="s">
        <v>208</v>
      </c>
      <c r="J162" s="10">
        <f t="shared" si="31"/>
        <v>1888099.7707590424</v>
      </c>
      <c r="K162" s="80">
        <f t="shared" si="31"/>
        <v>1510641.8033622007</v>
      </c>
      <c r="L162" s="23"/>
      <c r="M162" s="7"/>
      <c r="N162" s="7"/>
      <c r="O162" s="7"/>
      <c r="P162" s="7"/>
      <c r="Q162" s="122"/>
      <c r="R162" s="122"/>
      <c r="S162" s="122"/>
    </row>
    <row r="163">
      <c r="I163" s="216" t="s">
        <v>250</v>
      </c>
      <c r="J163" s="139"/>
      <c r="K163" s="140"/>
      <c r="L163" s="23"/>
      <c r="M163" s="7"/>
      <c r="N163" s="7"/>
      <c r="O163" s="7"/>
      <c r="P163" s="7"/>
      <c r="Q163" s="122"/>
      <c r="R163" s="122"/>
      <c r="S163" s="122"/>
    </row>
    <row r="164">
      <c r="I164" s="8" t="s">
        <v>209</v>
      </c>
      <c r="J164" s="10">
        <f ref="J164:K166" t="shared" si="32">J60</f>
        <v>3022081.0799796237</v>
      </c>
      <c r="K164" s="80">
        <f t="shared" si="32"/>
        <v>2820550.8588894559</v>
      </c>
      <c r="L164" s="23"/>
      <c r="M164" s="7"/>
      <c r="N164" s="7"/>
      <c r="O164" s="7"/>
      <c r="P164" s="7"/>
      <c r="Q164" s="122"/>
      <c r="R164" s="122"/>
      <c r="S164" s="122"/>
    </row>
    <row r="165">
      <c r="I165" s="8" t="s">
        <v>210</v>
      </c>
      <c r="J165" s="10">
        <f t="shared" si="32"/>
        <v>2416385.5839701141</v>
      </c>
      <c r="K165" s="80">
        <f t="shared" si="32"/>
        <v>2013557.7381558844</v>
      </c>
      <c r="L165" s="23"/>
      <c r="M165" s="7"/>
      <c r="N165" s="7"/>
      <c r="O165" s="7"/>
      <c r="P165" s="7"/>
      <c r="Q165" s="122"/>
      <c r="R165" s="122"/>
      <c r="S165" s="122"/>
    </row>
    <row r="166">
      <c r="I166" s="8" t="s">
        <v>211</v>
      </c>
      <c r="J166" s="10">
        <f t="shared" si="32"/>
        <v>393953.05949509342</v>
      </c>
      <c r="K166" s="80">
        <f t="shared" si="32"/>
        <v>358135.23385521781</v>
      </c>
      <c r="L166" s="23"/>
      <c r="M166" s="7"/>
      <c r="N166" s="7"/>
      <c r="O166" s="7"/>
      <c r="P166" s="7"/>
      <c r="Q166" s="122"/>
      <c r="R166" s="122"/>
      <c r="S166" s="122"/>
    </row>
    <row r="167">
      <c r="I167" s="216" t="s">
        <v>251</v>
      </c>
      <c r="J167" s="139"/>
      <c r="K167" s="140"/>
      <c r="L167" s="23"/>
      <c r="M167" s="7"/>
      <c r="N167" s="7"/>
      <c r="O167" s="7"/>
      <c r="P167" s="7"/>
      <c r="Q167" s="122"/>
      <c r="R167" s="122"/>
      <c r="S167" s="122"/>
    </row>
    <row r="168">
      <c r="I168" s="8" t="s">
        <v>212</v>
      </c>
      <c r="J168" s="10">
        <f ref="J168:K170" t="shared" si="33">J64</f>
        <v>1923267.0263685375</v>
      </c>
      <c r="K168" s="80">
        <f t="shared" si="33"/>
        <v>1697052.3007450262</v>
      </c>
      <c r="L168" s="23"/>
      <c r="M168" s="7"/>
      <c r="N168" s="7"/>
      <c r="O168" s="7"/>
      <c r="P168" s="7"/>
      <c r="Q168" s="122"/>
      <c r="R168" s="122"/>
      <c r="S168" s="122"/>
    </row>
    <row r="169">
      <c r="I169" s="8" t="s">
        <v>213</v>
      </c>
      <c r="J169" s="10">
        <f t="shared" si="33"/>
        <v>1487496.1602139582</v>
      </c>
      <c r="K169" s="80">
        <f t="shared" si="33"/>
        <v>1312934.6255731024</v>
      </c>
      <c r="L169" s="23"/>
      <c r="M169" s="7"/>
      <c r="N169" s="7"/>
      <c r="O169" s="7"/>
      <c r="P169" s="7"/>
      <c r="Q169" s="122"/>
      <c r="R169" s="122"/>
      <c r="S169" s="122"/>
    </row>
    <row r="170" ht="15">
      <c r="I170" s="13" t="s">
        <v>214</v>
      </c>
      <c r="J170" s="101">
        <f t="shared" si="33"/>
        <v>1293090.0459456958</v>
      </c>
      <c r="K170" s="103">
        <f t="shared" si="33"/>
        <v>927289.50666913064</v>
      </c>
      <c r="L170" s="23"/>
      <c r="M170" s="7"/>
      <c r="N170" s="7"/>
      <c r="O170" s="7"/>
      <c r="P170" s="7"/>
      <c r="Q170" s="122"/>
      <c r="R170" s="122"/>
      <c r="S170" s="122"/>
    </row>
    <row r="171" ht="15">
      <c r="I171" s="8"/>
      <c r="J171" s="7"/>
      <c r="K171" s="9"/>
      <c r="L171" s="23"/>
      <c r="M171" s="7"/>
      <c r="N171" s="7"/>
      <c r="O171" s="7"/>
      <c r="P171" s="7"/>
      <c r="Q171" s="122"/>
      <c r="R171" s="122"/>
      <c r="S171" s="122"/>
    </row>
    <row r="172">
      <c r="I172" s="63" t="s">
        <v>198</v>
      </c>
      <c r="J172" s="218">
        <f>SUM(J156:J158)</f>
        <v>2078014.328558329</v>
      </c>
      <c r="K172" s="219">
        <f>SUM(K156:K158)</f>
        <v>4259636.98487553</v>
      </c>
      <c r="L172" s="23"/>
      <c r="M172" s="7"/>
      <c r="N172" s="7"/>
      <c r="O172" s="7"/>
      <c r="P172" s="7"/>
      <c r="Q172" s="122"/>
      <c r="R172" s="122"/>
      <c r="S172" s="122"/>
    </row>
    <row r="173">
      <c r="I173" s="46" t="s">
        <v>197</v>
      </c>
      <c r="J173" s="47">
        <f>SUM(J160:J170)</f>
        <v>14400505.63034898</v>
      </c>
      <c r="K173" s="220">
        <f>SUM(K160:K170)</f>
        <v>12000331.315747216</v>
      </c>
      <c r="L173" s="23"/>
      <c r="M173" s="7"/>
      <c r="N173" s="7"/>
      <c r="O173" s="7"/>
      <c r="P173" s="7"/>
      <c r="Q173" s="122"/>
      <c r="R173" s="122"/>
      <c r="S173" s="122"/>
    </row>
    <row r="174" ht="15">
      <c r="I174" s="16"/>
      <c r="J174" s="11"/>
      <c r="K174" s="17"/>
      <c r="L174" s="23"/>
      <c r="M174" s="7"/>
      <c r="N174" s="7"/>
      <c r="O174" s="7"/>
      <c r="P174" s="7"/>
      <c r="Q174" s="122"/>
      <c r="R174" s="122"/>
      <c r="S174" s="122"/>
    </row>
    <row r="175" ht="15">
      <c r="I175" s="7"/>
      <c r="J175" s="7"/>
      <c r="K175" s="7"/>
      <c r="L175" s="23"/>
      <c r="M175" s="7"/>
      <c r="N175" s="7"/>
      <c r="O175" s="7"/>
      <c r="P175" s="7"/>
      <c r="Q175" s="122"/>
      <c r="R175" s="122"/>
      <c r="S175" s="122"/>
    </row>
    <row r="176" ht="15" customHeight="1">
      <c r="I176" s="128"/>
      <c r="J176" s="102" t="s">
        <v>239</v>
      </c>
      <c r="K176" s="223" t="s">
        <v>240</v>
      </c>
      <c r="L176" s="224" t="s">
        <v>243</v>
      </c>
      <c r="M176" s="222"/>
      <c r="N176" s="122"/>
      <c r="O176" s="122"/>
      <c r="P176" s="122"/>
      <c r="Q176" s="122"/>
      <c r="R176" s="122"/>
      <c r="S176" s="122"/>
    </row>
    <row r="177">
      <c r="I177" s="91" t="s">
        <v>252</v>
      </c>
      <c r="J177" s="85">
        <f>IF( L5=I128,K128,IF(L5=I129,K129,IF(L5=I130,K130,IF(L5=I131,K131,1))))</f>
        <v>1.1</v>
      </c>
      <c r="K177" s="245">
        <f>IF( L5=I128,L128,IF(L5=I129,L129,IF(L5=I130,L130,IF(L5=I131,L131,1))))</f>
        <v>1.1</v>
      </c>
      <c r="L177" s="246">
        <v>1</v>
      </c>
    </row>
    <row r="178">
      <c r="I178" s="79" t="s">
        <v>253</v>
      </c>
      <c r="J178" s="29">
        <f>IF(L6=I134,L134,IF(L6=I135,L135, IF(L6=I136,L136,IF(L6=I137,L137,IF(L6=I138,L138,IF(L6=I139,L139, IF(L6=I140,L140, IF(L6=I141,L141,1))))))))</f>
        <v>1.02</v>
      </c>
      <c r="K178" s="247">
        <f>IF(L6=I134,L134,IF(L6=I135,L135, IF(L6=I136,L136,IF(L6=I137,L137,IF(L6=I138,L138,IF(L6=I139,L139, IF(L6=I140,L140, IF(L6=I141,L141,1))))))))</f>
        <v>1.02</v>
      </c>
      <c r="L178" s="248">
        <v>1</v>
      </c>
    </row>
    <row r="179" ht="15">
      <c r="I179" s="230" t="s">
        <v>254</v>
      </c>
      <c r="J179" s="249">
        <f>IF( L8=I144,K144,IF(L8=I145,K145,IF(L8=I146,K146,1)))</f>
        <v>1.15</v>
      </c>
      <c r="K179" s="250">
        <f>IF( L8=I144,L144,IF(L8=I145,L145,IF(L8=I146,L146,1)))</f>
        <v>1.1</v>
      </c>
      <c r="L179" s="251">
        <f>IF( L8=I144,M144,IF(L8=I145,M145,IF(L8=I146,M146,1)))</f>
        <v>1.2</v>
      </c>
    </row>
    <row r="180" ht="15.6">
      <c r="I180" s="211"/>
      <c r="J180" s="212">
        <f>J177*J178*J179</f>
        <v>1.2903</v>
      </c>
      <c r="K180" s="212">
        <f ref="K180:L180" t="shared" si="34">K177*K178*K179</f>
        <v>1.2342000000000002</v>
      </c>
      <c r="L180" s="260">
        <f t="shared" si="34"/>
        <v>1.2</v>
      </c>
    </row>
    <row r="181">
      <c r="L181" s="62"/>
    </row>
    <row r="182" ht="15">
      <c r="L182" s="62"/>
    </row>
    <row r="183">
      <c r="I183" s="128" t="s">
        <v>255</v>
      </c>
      <c r="J183" s="213" t="s">
        <v>168</v>
      </c>
      <c r="K183" s="214" t="s">
        <v>169</v>
      </c>
      <c r="L183" s="62"/>
    </row>
    <row r="184">
      <c r="I184" s="8"/>
      <c r="J184" s="7"/>
      <c r="K184" s="9"/>
      <c r="L184" s="62"/>
    </row>
    <row r="185">
      <c r="I185" s="8" t="s">
        <v>170</v>
      </c>
      <c r="J185" s="75">
        <f>J150*J180</f>
        <v>6.1754557320603229</v>
      </c>
      <c r="K185" s="115">
        <f>K150*J180</f>
        <v>1.5893794088656328</v>
      </c>
      <c r="L185" s="62"/>
    </row>
    <row r="186">
      <c r="I186" s="8" t="s">
        <v>256</v>
      </c>
      <c r="J186" s="12" t="e">
        <f>J151*J180</f>
        <v>#VALUE!</v>
      </c>
      <c r="K186" s="88" t="e">
        <f>K151*J180</f>
        <v>#VALUE!</v>
      </c>
      <c r="L186" s="62"/>
    </row>
    <row r="187" ht="15">
      <c r="I187" s="16"/>
      <c r="J187" s="11"/>
      <c r="K187" s="17"/>
      <c r="L187" s="62"/>
    </row>
    <row r="188">
      <c r="L188" s="62"/>
    </row>
    <row r="189" ht="15">
      <c r="L189" s="62"/>
    </row>
    <row r="190">
      <c r="I190" s="77"/>
      <c r="J190" s="241" t="s">
        <v>168</v>
      </c>
      <c r="K190" s="242" t="s">
        <v>169</v>
      </c>
      <c r="L190" s="213" t="s">
        <v>168</v>
      </c>
      <c r="M190" s="214" t="s">
        <v>169</v>
      </c>
      <c r="N190" s="252" t="s">
        <v>257</v>
      </c>
    </row>
    <row r="191">
      <c r="I191" s="118" t="s">
        <v>172</v>
      </c>
      <c r="J191" s="233"/>
      <c r="K191" s="234"/>
      <c r="L191" s="203"/>
      <c r="M191" s="204"/>
      <c r="N191" s="253"/>
    </row>
    <row r="192">
      <c r="I192" s="79" t="s">
        <v>173</v>
      </c>
      <c r="J192" s="235">
        <f>J156</f>
        <v>1256577</v>
      </c>
      <c r="K192" s="236">
        <f>K156</f>
        <v>1106071.8514365766</v>
      </c>
      <c r="L192" s="10">
        <f>J192*$L$180</f>
        <v>1507892.4</v>
      </c>
      <c r="M192" s="80">
        <f>K192*$L$180</f>
        <v>1327286.2217238918</v>
      </c>
      <c r="N192" s="254">
        <f>L192/M192</f>
        <v>1.136071764567506</v>
      </c>
    </row>
    <row r="193">
      <c r="I193" s="79" t="s">
        <v>174</v>
      </c>
      <c r="J193" s="235">
        <f ref="J193:K193" t="shared" si="35">J157</f>
        <v>616031.12855832907</v>
      </c>
      <c r="K193" s="236">
        <f t="shared" si="35"/>
        <v>2595184.04281372</v>
      </c>
      <c r="L193" s="10">
        <f ref="L193:L194" t="shared" si="36">J193*$L$180</f>
        <v>739237.35426999489</v>
      </c>
      <c r="M193" s="80">
        <f ref="M193:M194" t="shared" si="37">K193*$L$180</f>
        <v>3114220.8513764641</v>
      </c>
      <c r="N193" s="254">
        <f ref="N193:N206" t="shared" si="38">L193/M193</f>
        <v>0.23737473658724528</v>
      </c>
    </row>
    <row r="194" ht="15">
      <c r="I194" s="230" t="s">
        <v>175</v>
      </c>
      <c r="J194" s="237">
        <f ref="J194:K194" t="shared" si="39">J158</f>
        <v>205406.20000000004</v>
      </c>
      <c r="K194" s="238">
        <f t="shared" si="39"/>
        <v>558381.09062523337</v>
      </c>
      <c r="L194" s="101">
        <f t="shared" si="36"/>
        <v>246487.44000000003</v>
      </c>
      <c r="M194" s="103">
        <f t="shared" si="37"/>
        <v>670057.30875028006</v>
      </c>
      <c r="N194" s="256">
        <f t="shared" si="38"/>
        <v>0.36786023640234938</v>
      </c>
    </row>
    <row r="195" ht="15">
      <c r="I195" s="118" t="s">
        <v>176</v>
      </c>
      <c r="J195" s="239"/>
      <c r="K195" s="240"/>
      <c r="L195" s="139"/>
      <c r="M195" s="140"/>
      <c r="N195" s="254"/>
    </row>
    <row r="196">
      <c r="I196" s="79" t="s">
        <v>177</v>
      </c>
      <c r="J196" s="235">
        <f ref="J196:K196" t="shared" si="40">J160</f>
        <v>357425.68252674479</v>
      </c>
      <c r="K196" s="236">
        <f t="shared" si="40"/>
        <v>280589.16800815077</v>
      </c>
      <c r="L196" s="215">
        <f>J56*$K$180</f>
        <v>441134.7773745085</v>
      </c>
      <c r="M196" s="225">
        <f>K56*$K$180</f>
        <v>346303.15115565975</v>
      </c>
      <c r="N196" s="254">
        <f t="shared" si="38"/>
        <v>1.2738399171430666</v>
      </c>
    </row>
    <row r="197">
      <c r="I197" s="79" t="s">
        <v>178</v>
      </c>
      <c r="J197" s="235">
        <f ref="J197:K197" t="shared" si="41">J161</f>
        <v>1618707.2210901682</v>
      </c>
      <c r="K197" s="236">
        <f t="shared" si="41"/>
        <v>1079580.0804890473</v>
      </c>
      <c r="L197" s="215">
        <f ref="L197:M197" t="shared" si="42">J57*$K$180</f>
        <v>1997808.4522694859</v>
      </c>
      <c r="M197" s="225">
        <f t="shared" si="42"/>
        <v>1332417.7353395824</v>
      </c>
      <c r="N197" s="254">
        <f t="shared" si="38"/>
        <v>1.4993859652883717</v>
      </c>
    </row>
    <row r="198" ht="15">
      <c r="I198" s="230" t="s">
        <v>179</v>
      </c>
      <c r="J198" s="237">
        <f ref="J198:K198" t="shared" si="43">J162</f>
        <v>1888099.7707590424</v>
      </c>
      <c r="K198" s="238">
        <f t="shared" si="43"/>
        <v>1510641.8033622007</v>
      </c>
      <c r="L198" s="231">
        <f ref="L198:M198" t="shared" si="44">J58*$K$180</f>
        <v>2330292.7370708105</v>
      </c>
      <c r="M198" s="232">
        <f t="shared" si="44"/>
        <v>1864434.1137096284</v>
      </c>
      <c r="N198" s="256">
        <f t="shared" si="38"/>
        <v>1.2498659619750641</v>
      </c>
    </row>
    <row r="199" ht="15">
      <c r="I199" s="118" t="s">
        <v>180</v>
      </c>
      <c r="J199" s="239"/>
      <c r="K199" s="240"/>
      <c r="L199" s="226"/>
      <c r="M199" s="227"/>
      <c r="N199" s="254"/>
    </row>
    <row r="200">
      <c r="I200" s="79" t="s">
        <v>181</v>
      </c>
      <c r="J200" s="235">
        <f ref="J200:K200" t="shared" si="45">J164</f>
        <v>3022081.0799796237</v>
      </c>
      <c r="K200" s="236">
        <f t="shared" si="45"/>
        <v>2820550.8588894559</v>
      </c>
      <c r="L200" s="215">
        <f ref="L200:M200" t="shared" si="46">J60*$K$180</f>
        <v>3729852.468910852</v>
      </c>
      <c r="M200" s="225">
        <f t="shared" si="46"/>
        <v>3481123.8700413671</v>
      </c>
      <c r="N200" s="254">
        <f t="shared" si="38"/>
        <v>1.0714506602336242</v>
      </c>
    </row>
    <row r="201">
      <c r="I201" s="79" t="s">
        <v>182</v>
      </c>
      <c r="J201" s="235">
        <f ref="J201:K201" t="shared" si="47">J165</f>
        <v>2416385.5839701141</v>
      </c>
      <c r="K201" s="236">
        <f t="shared" si="47"/>
        <v>2013557.7381558844</v>
      </c>
      <c r="L201" s="215">
        <f ref="L201:M201" t="shared" si="48">J61*$K$180</f>
        <v>2982303.0877359151</v>
      </c>
      <c r="M201" s="225">
        <f t="shared" si="48"/>
        <v>2485132.960431993</v>
      </c>
      <c r="N201" s="254">
        <f t="shared" si="38"/>
        <v>1.2000577575605849</v>
      </c>
    </row>
    <row r="202" ht="15">
      <c r="I202" s="230" t="s">
        <v>183</v>
      </c>
      <c r="J202" s="237">
        <f ref="J202:K202" t="shared" si="49">J166</f>
        <v>393953.05949509342</v>
      </c>
      <c r="K202" s="238">
        <f t="shared" si="49"/>
        <v>358135.23385521781</v>
      </c>
      <c r="L202" s="231">
        <f ref="L202:M202" t="shared" si="50">J62*$K$180</f>
        <v>486216.86602884438</v>
      </c>
      <c r="M202" s="232">
        <f t="shared" si="50"/>
        <v>442010.50562410988</v>
      </c>
      <c r="N202" s="256">
        <f t="shared" si="38"/>
        <v>1.1000120129323985</v>
      </c>
    </row>
    <row r="203" ht="15">
      <c r="I203" s="116" t="s">
        <v>184</v>
      </c>
      <c r="J203" s="239"/>
      <c r="K203" s="240"/>
      <c r="L203" s="226"/>
      <c r="M203" s="227"/>
      <c r="N203" s="254"/>
    </row>
    <row r="204">
      <c r="I204" s="79" t="s">
        <v>185</v>
      </c>
      <c r="J204" s="235">
        <f ref="J204:K204" t="shared" si="51">J168</f>
        <v>1923267.0263685375</v>
      </c>
      <c r="K204" s="236">
        <f t="shared" si="51"/>
        <v>1697052.3007450262</v>
      </c>
      <c r="L204" s="215">
        <f ref="L204:M204" t="shared" si="52">J64*$K$180</f>
        <v>2373696.1639440493</v>
      </c>
      <c r="M204" s="225">
        <f t="shared" si="52"/>
        <v>2094501.9495795118</v>
      </c>
      <c r="N204" s="254">
        <f t="shared" si="38"/>
        <v>1.1332986175642319</v>
      </c>
    </row>
    <row r="205">
      <c r="I205" s="79" t="s">
        <v>186</v>
      </c>
      <c r="J205" s="235">
        <f ref="J205:K205" t="shared" si="53">J169</f>
        <v>1487496.1602139582</v>
      </c>
      <c r="K205" s="236">
        <f t="shared" si="53"/>
        <v>1312934.6255731024</v>
      </c>
      <c r="L205" s="215">
        <f ref="L205:M205" t="shared" si="54">J65*$K$180</f>
        <v>1835867.7609360674</v>
      </c>
      <c r="M205" s="225">
        <f t="shared" si="54"/>
        <v>1620423.9148823232</v>
      </c>
      <c r="N205" s="254">
        <f t="shared" si="38"/>
        <v>1.1329552372530802</v>
      </c>
    </row>
    <row r="206" ht="15">
      <c r="I206" s="13" t="s">
        <v>187</v>
      </c>
      <c r="J206" s="237">
        <f ref="J206:K206" t="shared" si="55">J170</f>
        <v>1293090.0459456958</v>
      </c>
      <c r="K206" s="238">
        <f t="shared" si="55"/>
        <v>927289.50666913064</v>
      </c>
      <c r="L206" s="231">
        <f ref="L206:M206" t="shared" si="56">J66*$K$180</f>
        <v>1595931.7347061781</v>
      </c>
      <c r="M206" s="232">
        <f t="shared" si="56"/>
        <v>1144460.7091310413</v>
      </c>
      <c r="N206" s="256">
        <f t="shared" si="38"/>
        <v>1.3944836393011051</v>
      </c>
    </row>
    <row r="207" ht="15.6">
      <c r="I207" s="120"/>
      <c r="J207" s="243"/>
      <c r="K207" s="244"/>
      <c r="L207" s="228"/>
      <c r="M207" s="229"/>
      <c r="N207" s="255"/>
    </row>
    <row r="208">
      <c r="L208" s="59"/>
      <c r="M208" s="59"/>
    </row>
  </sheetData>
  <mergeCells>
    <mergeCell ref="L25:M25"/>
    <mergeCell ref="R25:S25"/>
    <mergeCell ref="E25:F25"/>
    <mergeCell ref="J13:K13"/>
    <mergeCell ref="R13:S13"/>
    <mergeCell ref="G25:H25"/>
    <mergeCell ref="J25:K25"/>
    <mergeCell ref="N13:O13"/>
    <mergeCell ref="P13:Q13"/>
    <mergeCell ref="N25:O25"/>
    <mergeCell ref="P25:Q25"/>
    <mergeCell ref="L5:M5"/>
    <mergeCell ref="L6:M6"/>
    <mergeCell ref="L7:M7"/>
    <mergeCell ref="L8:M8"/>
    <mergeCell ref="L13:M13"/>
  </mergeCells>
  <pageMargins left="0.7" right="0.7" top="0.75" bottom="0.75" header="0.3" footer="0.3"/>
  <pageSetup orientation="portrait" horizontalDpi="4294967295" verticalDpi="4294967295"/>
  <headerFooter/>
  <ignoredErrors>
    <ignoredError sqref="M75 G30:G31 G37:G40 G41:G43 G33:G35" formula="1"/>
    <ignoredError sqref="K93:L93 L122" formulaRange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D2424-FA02-4C99-8D35-48573528114E}">
  <sheetPr codeName="Sheet7"/>
  <dimension ref="C4:E29"/>
  <sheetViews>
    <sheetView showGridLines="0" topLeftCell="A19" workbookViewId="0">
      <selection activeCell="E39" sqref="E39"/>
    </sheetView>
  </sheetViews>
  <sheetFormatPr defaultRowHeight="14.4" x14ac:dyDescent="0.3"/>
  <cols>
    <col min="3" max="3" width="40" customWidth="1"/>
    <col min="4" max="4" width="21.6640625" customWidth="1"/>
    <col min="5" max="5" width="17.44140625" customWidth="1"/>
  </cols>
  <sheetData>
    <row r="3" ht="15"/>
    <row r="4">
      <c r="C4" s="257" t="s">
        <v>167</v>
      </c>
      <c r="D4" s="258" t="s">
        <v>168</v>
      </c>
      <c r="E4" s="259" t="s">
        <v>169</v>
      </c>
    </row>
    <row r="5">
      <c r="C5" s="8" t="s">
        <v>170</v>
      </c>
      <c r="D5" s="14">
        <f>Calculator!J185</f>
        <v>6.1754557320603229</v>
      </c>
      <c r="E5" s="86">
        <f>Calculator!K185</f>
        <v>1.5893794088656328</v>
      </c>
    </row>
    <row r="6" ht="15">
      <c r="C6" s="16"/>
      <c r="D6" s="89"/>
      <c r="E6" s="90"/>
    </row>
    <row r="7" ht="15">
      <c r="C7" s="7"/>
      <c r="D7" s="14"/>
      <c r="E7" s="14"/>
    </row>
    <row r="8">
      <c r="C8" s="257" t="s">
        <v>167</v>
      </c>
      <c r="D8" s="258" t="s">
        <v>168</v>
      </c>
      <c r="E8" s="259" t="s">
        <v>169</v>
      </c>
    </row>
    <row r="9">
      <c r="C9" s="8" t="s">
        <v>171</v>
      </c>
      <c r="D9" s="12" t="e">
        <f>Calculator!J186</f>
        <v>#VALUE!</v>
      </c>
      <c r="E9" s="88" t="e">
        <f>Calculator!K186</f>
        <v>#VALUE!</v>
      </c>
    </row>
    <row r="10" ht="15">
      <c r="C10" s="16"/>
      <c r="D10" s="11"/>
      <c r="E10" s="17"/>
    </row>
    <row r="11" ht="15">
      <c r="C11" s="7"/>
      <c r="D11" s="7"/>
      <c r="E11" s="7"/>
    </row>
    <row r="12">
      <c r="C12" s="257"/>
      <c r="D12" s="258" t="s">
        <v>168</v>
      </c>
      <c r="E12" s="259" t="s">
        <v>169</v>
      </c>
    </row>
    <row r="13">
      <c r="C13" s="118" t="s">
        <v>172</v>
      </c>
      <c r="D13" s="156"/>
      <c r="E13" s="217"/>
    </row>
    <row r="14">
      <c r="C14" s="79" t="s">
        <v>173</v>
      </c>
      <c r="D14" s="10">
        <f>Calculator!L192</f>
        <v>1507892.4</v>
      </c>
      <c r="E14" s="80">
        <f>Calculator!M192</f>
        <v>1327286.2217238918</v>
      </c>
    </row>
    <row r="15">
      <c r="C15" s="79" t="s">
        <v>174</v>
      </c>
      <c r="D15" s="10">
        <f>Calculator!L193</f>
        <v>739237.35426999489</v>
      </c>
      <c r="E15" s="80">
        <f>Calculator!M193</f>
        <v>3114220.8513764641</v>
      </c>
    </row>
    <row r="16">
      <c r="C16" s="79" t="s">
        <v>175</v>
      </c>
      <c r="D16" s="10">
        <f>Calculator!L194</f>
        <v>246487.44000000003</v>
      </c>
      <c r="E16" s="80">
        <f>Calculator!M194</f>
        <v>670057.30875028006</v>
      </c>
    </row>
    <row r="17">
      <c r="C17" s="118" t="s">
        <v>176</v>
      </c>
      <c r="D17" s="139"/>
      <c r="E17" s="140"/>
    </row>
    <row r="18">
      <c r="C18" s="79" t="s">
        <v>177</v>
      </c>
      <c r="D18" s="10">
        <f>Calculator!L196</f>
        <v>441134.7773745085</v>
      </c>
      <c r="E18" s="80">
        <f>Calculator!M196</f>
        <v>346303.15115565975</v>
      </c>
    </row>
    <row r="19">
      <c r="C19" s="79" t="s">
        <v>178</v>
      </c>
      <c r="D19" s="10">
        <f>Calculator!L197</f>
        <v>1997808.4522694859</v>
      </c>
      <c r="E19" s="80">
        <f>Calculator!M197</f>
        <v>1332417.7353395824</v>
      </c>
    </row>
    <row r="20">
      <c r="C20" s="79" t="s">
        <v>179</v>
      </c>
      <c r="D20" s="10">
        <f>Calculator!L198</f>
        <v>2330292.7370708105</v>
      </c>
      <c r="E20" s="80">
        <f>Calculator!M198</f>
        <v>1864434.1137096284</v>
      </c>
    </row>
    <row r="21">
      <c r="C21" s="118" t="s">
        <v>180</v>
      </c>
      <c r="D21" s="139"/>
      <c r="E21" s="140"/>
    </row>
    <row r="22">
      <c r="C22" s="79" t="s">
        <v>181</v>
      </c>
      <c r="D22" s="10">
        <f>Calculator!L200</f>
        <v>3729852.468910852</v>
      </c>
      <c r="E22" s="80">
        <f>Calculator!M200</f>
        <v>3481123.8700413671</v>
      </c>
    </row>
    <row r="23">
      <c r="C23" s="79" t="s">
        <v>182</v>
      </c>
      <c r="D23" s="10">
        <f>Calculator!L201</f>
        <v>2982303.0877359151</v>
      </c>
      <c r="E23" s="80">
        <f>Calculator!M201</f>
        <v>2485132.960431993</v>
      </c>
    </row>
    <row r="24">
      <c r="C24" s="79" t="s">
        <v>183</v>
      </c>
      <c r="D24" s="10">
        <f>Calculator!L202</f>
        <v>486216.86602884438</v>
      </c>
      <c r="E24" s="80">
        <f>Calculator!M202</f>
        <v>442010.50562410988</v>
      </c>
    </row>
    <row r="25">
      <c r="C25" s="116" t="s">
        <v>184</v>
      </c>
      <c r="D25" s="139"/>
      <c r="E25" s="140"/>
    </row>
    <row r="26">
      <c r="C26" s="79" t="s">
        <v>185</v>
      </c>
      <c r="D26" s="10">
        <f>Calculator!L204</f>
        <v>2373696.1639440493</v>
      </c>
      <c r="E26" s="80">
        <f>Calculator!M204</f>
        <v>2094501.9495795118</v>
      </c>
    </row>
    <row r="27">
      <c r="C27" s="79" t="s">
        <v>186</v>
      </c>
      <c r="D27" s="10">
        <f>Calculator!L205</f>
        <v>1835867.7609360674</v>
      </c>
      <c r="E27" s="80">
        <f>Calculator!M205</f>
        <v>1620423.9148823232</v>
      </c>
    </row>
    <row r="28">
      <c r="C28" s="8" t="s">
        <v>187</v>
      </c>
      <c r="D28" s="10">
        <f>Calculator!L206</f>
        <v>1595931.7347061781</v>
      </c>
      <c r="E28" s="80">
        <f>Calculator!M206</f>
        <v>1144460.7091310413</v>
      </c>
    </row>
    <row r="29" ht="15">
      <c r="C29" s="290"/>
      <c r="D29" s="163"/>
      <c r="E29" s="291"/>
    </row>
  </sheetData>
  <pageMargins left="0.7" right="0.7" top="0.75" bottom="0.75" header="0.3" footer="0.3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D6:L20"/>
  <sheetViews>
    <sheetView workbookViewId="0">
      <selection activeCell="D28" sqref="D28"/>
    </sheetView>
  </sheetViews>
  <sheetFormatPr defaultRowHeight="14.4" x14ac:dyDescent="0.3"/>
  <cols>
    <col min="4" max="4" width="34" customWidth="1"/>
    <col min="5" max="10" width="13.33203125" customWidth="1"/>
  </cols>
  <sheetData>
    <row r="6">
      <c r="E6" s="0" t="s">
        <v>26</v>
      </c>
      <c r="G6" s="0" t="s">
        <v>27</v>
      </c>
      <c r="I6" s="0" t="s">
        <v>28</v>
      </c>
    </row>
    <row r="7">
      <c r="D7" s="0" t="s">
        <v>156</v>
      </c>
      <c r="E7" s="0">
        <v>18</v>
      </c>
      <c r="F7" s="0">
        <v>187</v>
      </c>
      <c r="G7" s="0">
        <v>32</v>
      </c>
      <c r="H7" s="0">
        <v>337</v>
      </c>
      <c r="I7" s="0">
        <v>45</v>
      </c>
      <c r="J7" s="0">
        <v>472</v>
      </c>
    </row>
    <row r="8">
      <c r="D8" s="0" t="s">
        <v>157</v>
      </c>
      <c r="E8" s="0">
        <v>32</v>
      </c>
      <c r="F8" s="0">
        <v>32</v>
      </c>
      <c r="G8" s="0">
        <v>160</v>
      </c>
      <c r="H8" s="0">
        <v>160</v>
      </c>
      <c r="I8" s="0">
        <v>480</v>
      </c>
      <c r="J8" s="0">
        <v>480</v>
      </c>
      <c r="L8" s="0" t="s">
        <v>158</v>
      </c>
    </row>
    <row r="9">
      <c r="D9" s="0" t="s">
        <v>159</v>
      </c>
      <c r="E9" s="59">
        <v>1000000</v>
      </c>
      <c r="F9" s="59">
        <v>259437.255</v>
      </c>
      <c r="G9" s="59">
        <v>2072567.5789473683</v>
      </c>
      <c r="H9" s="59">
        <v>467542.005</v>
      </c>
      <c r="I9" s="59">
        <v>2914548.1578947366</v>
      </c>
      <c r="J9" s="59">
        <v>654836.28</v>
      </c>
    </row>
    <row r="10">
      <c r="D10" s="0" t="s">
        <v>160</v>
      </c>
      <c r="E10" s="59">
        <v>51723.757894736846</v>
      </c>
      <c r="F10" s="59">
        <v>7783.1269999999995</v>
      </c>
      <c r="G10" s="59">
        <v>91953.347368421062</v>
      </c>
      <c r="H10" s="59">
        <v>14026.276999999998</v>
      </c>
      <c r="I10" s="59">
        <v>129309.39473684212</v>
      </c>
      <c r="J10" s="59">
        <v>19645.111999999997</v>
      </c>
    </row>
    <row r="11">
      <c r="E11" s="59"/>
      <c r="F11" s="59"/>
      <c r="G11" s="59"/>
      <c r="H11" s="59"/>
      <c r="I11" s="59"/>
      <c r="J11" s="59"/>
    </row>
    <row r="12">
      <c r="D12" s="0" t="s">
        <v>161</v>
      </c>
      <c r="E12" s="59">
        <v>159894</v>
      </c>
      <c r="F12" s="59">
        <v>830560.5</v>
      </c>
      <c r="G12" s="59">
        <v>284256</v>
      </c>
      <c r="H12" s="59">
        <v>1496785.5</v>
      </c>
      <c r="I12" s="59">
        <v>399735</v>
      </c>
      <c r="J12" s="59">
        <v>2096388</v>
      </c>
    </row>
    <row r="13">
      <c r="D13" s="0" t="s">
        <v>162</v>
      </c>
      <c r="E13" s="59">
        <v>52780.263157894733</v>
      </c>
      <c r="F13" s="59">
        <v>397608.75</v>
      </c>
      <c r="G13" s="59">
        <v>93831.578947368413</v>
      </c>
      <c r="H13" s="59">
        <v>716546.25</v>
      </c>
      <c r="I13" s="59">
        <v>131950.65789473683</v>
      </c>
      <c r="J13" s="59">
        <v>1003590</v>
      </c>
    </row>
    <row r="14">
      <c r="D14" s="0" t="s">
        <v>163</v>
      </c>
      <c r="E14" s="59">
        <v>238736.84210526318</v>
      </c>
      <c r="F14" s="59">
        <v>134172.5</v>
      </c>
      <c r="G14" s="59">
        <v>424421.052631579</v>
      </c>
      <c r="H14" s="59">
        <v>241797.5</v>
      </c>
      <c r="I14" s="59">
        <v>596842.105263158</v>
      </c>
      <c r="J14" s="59">
        <v>338660</v>
      </c>
    </row>
    <row r="15">
      <c r="E15" s="59"/>
      <c r="F15" s="59"/>
      <c r="G15" s="59"/>
      <c r="H15" s="59"/>
      <c r="I15" s="59"/>
      <c r="J15" s="59"/>
    </row>
    <row r="16">
      <c r="D16" s="0" t="s">
        <v>164</v>
      </c>
      <c r="E16" s="59">
        <v>6639.1578947368416</v>
      </c>
      <c r="F16" s="59">
        <v>15005.1605</v>
      </c>
      <c r="G16" s="59">
        <v>11802.947368421052</v>
      </c>
      <c r="H16" s="59">
        <v>27041.3855</v>
      </c>
      <c r="I16" s="59">
        <v>16597.894736842103</v>
      </c>
      <c r="J16" s="59">
        <v>37873.988</v>
      </c>
    </row>
    <row r="17">
      <c r="D17" s="0" t="s">
        <v>165</v>
      </c>
      <c r="E17" s="59">
        <v>9473.6842105263167</v>
      </c>
      <c r="F17" s="59">
        <v>15005.1605</v>
      </c>
      <c r="G17" s="59">
        <v>16842.105263157897</v>
      </c>
      <c r="H17" s="59">
        <v>33700</v>
      </c>
      <c r="I17" s="59">
        <v>23684.210526315794</v>
      </c>
      <c r="J17" s="59">
        <v>47200</v>
      </c>
    </row>
    <row r="18">
      <c r="D18" s="0" t="s">
        <v>166</v>
      </c>
      <c r="E18" s="59">
        <v>205406.2</v>
      </c>
      <c r="F18" s="59">
        <v>502756.6</v>
      </c>
      <c r="G18" s="59">
        <v>205406.2</v>
      </c>
      <c r="H18" s="59">
        <v>502756.6</v>
      </c>
      <c r="I18" s="59">
        <v>205406.2</v>
      </c>
      <c r="J18" s="59">
        <v>502756.6</v>
      </c>
    </row>
    <row r="19">
      <c r="E19" s="59"/>
      <c r="F19" s="59"/>
      <c r="G19" s="59"/>
      <c r="H19" s="59"/>
      <c r="I19" s="59"/>
      <c r="J19" s="59"/>
    </row>
    <row r="20">
      <c r="D20" s="0" t="s">
        <v>78</v>
      </c>
      <c r="E20" s="59">
        <v>32000</v>
      </c>
      <c r="F20" s="59">
        <v>224736</v>
      </c>
      <c r="G20" s="59">
        <v>160000</v>
      </c>
      <c r="H20" s="59">
        <v>1123680</v>
      </c>
      <c r="I20" s="59">
        <v>480000</v>
      </c>
      <c r="J20" s="59">
        <v>3371040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Value Drivers</vt:lpstr>
      <vt:lpstr>Macro OUTPUT</vt:lpstr>
      <vt:lpstr>Dropdowns</vt:lpstr>
      <vt:lpstr>Input</vt:lpstr>
      <vt:lpstr>Calculator</vt:lpstr>
      <vt:lpstr>Results</vt:lpstr>
      <vt:lpstr>Costs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asthanaajayk</dc:creator>
  <cp:lastModifiedBy>asthanaajayk</cp:lastModifiedBy>
  <cp:lastPrinted>2018-06-20T05:27:18Z</cp:lastPrinted>
  <dcterms:created xsi:type="dcterms:W3CDTF">2018-03-19T03:21:25Z</dcterms:created>
  <dcterms:modified xsi:type="dcterms:W3CDTF">2018-10-20T18:03:27Z</dcterms:modified>
</cp:coreProperties>
</file>