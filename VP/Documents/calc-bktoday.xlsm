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"/>
    </mc:Choice>
  </mc:AlternateContent>
  <xr:revisionPtr revIDLastSave="0" documentId="13_ncr:1_{FEC6558B-1F90-48E0-B1D3-42BDCA51C538}" xr6:coauthVersionLast="38" xr6:coauthVersionMax="38" xr10:uidLastSave="{00000000-0000-0000-0000-000000000000}"/>
  <bookViews>
    <workbookView xWindow="0" yWindow="0" windowWidth="11508" windowHeight="9636" tabRatio="928" firstSheet="1" activeTab="4" xr2:uid="{00000000-000D-0000-FFFF-FFFF00000000}"/>
  </bookViews>
  <sheets>
    <sheet name="Value Drivers" sheetId="1" state="hidden" r:id="rId1"/>
    <sheet name="Macro OUTPUT" sheetId="37" r:id="rId2"/>
    <sheet name="Dropdowns" sheetId="13" r:id="rId3"/>
    <sheet name="Input" sheetId="11" r:id="rId4"/>
    <sheet name="Calculator" sheetId="32" r:id="rId5"/>
    <sheet name="Results" sheetId="36" r:id="rId6"/>
    <sheet name="Costs 2" sheetId="18" state="hidden" r:id="rId7"/>
  </sheets>
  <externalReferences>
    <externalReference r:id="rId8"/>
    <externalReference r:id="rId9"/>
    <externalReference r:id="rId10"/>
  </externalReferences>
  <definedNames>
    <definedName name="A">#REF!</definedName>
    <definedName name="a16\">[1]Omeg!#REF!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[3]Sheet1B!#REF!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22" i="32" l="1"/>
  <c r="L93" i="32"/>
  <c r="R89" i="32"/>
  <c r="L129" i="32" l="1"/>
  <c r="L130" i="32"/>
  <c r="L131" i="32"/>
  <c r="L128" i="32"/>
  <c r="L135" i="32"/>
  <c r="L136" i="32"/>
  <c r="L137" i="32"/>
  <c r="L138" i="32"/>
  <c r="L139" i="32"/>
  <c r="L140" i="32"/>
  <c r="L141" i="32"/>
  <c r="L134" i="32"/>
  <c r="L114" i="32" l="1"/>
  <c r="O100" i="32"/>
  <c r="N100" i="32"/>
  <c r="M100" i="32"/>
  <c r="R29" i="32"/>
  <c r="J29" i="32" l="1"/>
  <c r="L87" i="32"/>
  <c r="F12" i="13" l="1"/>
  <c r="L6" i="32" l="1"/>
  <c r="L7" i="32"/>
  <c r="J11" i="32" s="1"/>
  <c r="L8" i="32"/>
  <c r="L5" i="32"/>
  <c r="K177" i="32" l="1"/>
  <c r="J177" i="32"/>
  <c r="K178" i="32"/>
  <c r="J178" i="32"/>
  <c r="L179" i="32"/>
  <c r="K179" i="32"/>
  <c r="J179" i="32"/>
  <c r="A26" i="32"/>
  <c r="F19" i="11"/>
  <c r="F18" i="11"/>
  <c r="J180" i="32" l="1"/>
  <c r="L180" i="32"/>
  <c r="K180" i="32"/>
  <c r="O103" i="32"/>
  <c r="O110" i="32" l="1"/>
  <c r="O105" i="32"/>
  <c r="O76" i="32" l="1"/>
  <c r="O78" i="32" l="1"/>
  <c r="O83" i="32"/>
  <c r="S19" i="32" l="1"/>
  <c r="S29" i="32" l="1"/>
  <c r="V39" i="32"/>
  <c r="S36" i="32"/>
  <c r="S40" i="32"/>
  <c r="H40" i="32" s="1"/>
  <c r="G22" i="32"/>
  <c r="K19" i="32"/>
  <c r="G18" i="32"/>
  <c r="F40" i="32"/>
  <c r="G40" i="32"/>
  <c r="E40" i="32"/>
  <c r="S30" i="32"/>
  <c r="F29" i="32" l="1"/>
  <c r="H29" i="32"/>
  <c r="F19" i="32" l="1"/>
  <c r="G29" i="32" l="1"/>
  <c r="F74" i="32" l="1"/>
  <c r="R31" i="32"/>
  <c r="G31" i="32"/>
  <c r="F31" i="32" l="1"/>
  <c r="G30" i="32"/>
  <c r="F30" i="32" l="1"/>
  <c r="S31" i="32" l="1"/>
  <c r="H31" i="32" s="1"/>
  <c r="S32" i="32"/>
  <c r="R30" i="32"/>
  <c r="R32" i="32" s="1"/>
  <c r="H30" i="32"/>
  <c r="G34" i="32" l="1"/>
  <c r="R37" i="32" l="1"/>
  <c r="R38" i="32" l="1"/>
  <c r="G38" i="32" l="1"/>
  <c r="S34" i="32"/>
  <c r="H34" i="32" s="1"/>
  <c r="S37" i="32"/>
  <c r="G33" i="32"/>
  <c r="F33" i="32" l="1"/>
  <c r="R34" i="32" l="1"/>
  <c r="G83" i="32"/>
  <c r="S38" i="32"/>
  <c r="H38" i="32" s="1"/>
  <c r="F38" i="32"/>
  <c r="U36" i="32"/>
  <c r="S33" i="32"/>
  <c r="H33" i="32" s="1"/>
  <c r="G84" i="32" s="1"/>
  <c r="V40" i="32"/>
  <c r="R35" i="32"/>
  <c r="S39" i="32" l="1"/>
  <c r="F39" i="32"/>
  <c r="G39" i="32"/>
  <c r="H39" i="32" l="1"/>
  <c r="R33" i="32"/>
  <c r="G42" i="32"/>
  <c r="R39" i="32" l="1"/>
  <c r="H37" i="32"/>
  <c r="G43" i="32"/>
  <c r="R42" i="32" l="1"/>
  <c r="G37" i="32"/>
  <c r="F37" i="32" l="1"/>
  <c r="S35" i="32"/>
  <c r="S42" i="32"/>
  <c r="H42" i="32" s="1"/>
  <c r="F42" i="32"/>
  <c r="F34" i="32" l="1"/>
  <c r="S41" i="32"/>
  <c r="F41" i="32"/>
  <c r="H35" i="32"/>
  <c r="G35" i="32" l="1"/>
  <c r="R43" i="32"/>
  <c r="K35" i="32" l="1"/>
  <c r="F35" i="32"/>
  <c r="M45" i="32"/>
  <c r="K36" i="32"/>
  <c r="K40" i="32"/>
  <c r="E29" i="32"/>
  <c r="K29" i="32"/>
  <c r="K31" i="32"/>
  <c r="K30" i="32"/>
  <c r="K32" i="32"/>
  <c r="K33" i="32"/>
  <c r="K38" i="32"/>
  <c r="K39" i="32"/>
  <c r="K42" i="32"/>
  <c r="K41" i="32"/>
  <c r="K43" i="32"/>
  <c r="K37" i="32"/>
  <c r="K34" i="32"/>
  <c r="J30" i="32"/>
  <c r="E30" i="32"/>
  <c r="R41" i="32"/>
  <c r="G41" i="32" s="1"/>
  <c r="P45" i="32"/>
  <c r="F43" i="32"/>
  <c r="N45" i="32"/>
  <c r="K45" i="32" l="1"/>
  <c r="G85" i="32"/>
  <c r="J52" i="32"/>
  <c r="K52" i="32"/>
  <c r="G86" i="32"/>
  <c r="K53" i="32"/>
  <c r="K54" i="32"/>
  <c r="K61" i="32"/>
  <c r="K56" i="32"/>
  <c r="K62" i="32"/>
  <c r="K60" i="32"/>
  <c r="K65" i="32"/>
  <c r="K57" i="32"/>
  <c r="H41" i="32"/>
  <c r="K64" i="32" s="1"/>
  <c r="O45" i="32"/>
  <c r="J53" i="32"/>
  <c r="F72" i="32"/>
  <c r="F73" i="32"/>
  <c r="F75" i="32" s="1"/>
  <c r="K58" i="32"/>
  <c r="F45" i="32"/>
  <c r="G45" i="32"/>
  <c r="S43" i="32"/>
  <c r="H43" i="32" s="1"/>
  <c r="H45" i="32" s="1"/>
  <c r="Q45" i="32"/>
  <c r="S16" i="32"/>
  <c r="M118" i="32" s="1"/>
  <c r="M117" i="32"/>
  <c r="G87" i="32" l="1"/>
  <c r="G89" i="32" s="1"/>
  <c r="F76" i="32"/>
  <c r="M198" i="32"/>
  <c r="E20" i="36" s="1"/>
  <c r="K162" i="32"/>
  <c r="K198" i="32" s="1"/>
  <c r="B35" i="32"/>
  <c r="K164" i="32"/>
  <c r="K200" i="32" s="1"/>
  <c r="M200" i="32"/>
  <c r="E22" i="36" s="1"/>
  <c r="B37" i="32"/>
  <c r="K158" i="32"/>
  <c r="K194" i="32" s="1"/>
  <c r="M194" i="32" s="1"/>
  <c r="E16" i="36" s="1"/>
  <c r="B31" i="32"/>
  <c r="L102" i="32"/>
  <c r="L52" i="32"/>
  <c r="J156" i="32"/>
  <c r="L73" i="32"/>
  <c r="A29" i="32"/>
  <c r="B41" i="32"/>
  <c r="M204" i="32"/>
  <c r="E26" i="36" s="1"/>
  <c r="K168" i="32"/>
  <c r="K204" i="32" s="1"/>
  <c r="K166" i="32"/>
  <c r="K202" i="32" s="1"/>
  <c r="M202" i="32"/>
  <c r="E24" i="36" s="1"/>
  <c r="B39" i="32"/>
  <c r="K157" i="32"/>
  <c r="K193" i="32" s="1"/>
  <c r="M193" i="32" s="1"/>
  <c r="E15" i="36" s="1"/>
  <c r="L101" i="32"/>
  <c r="B30" i="32"/>
  <c r="K161" i="32"/>
  <c r="K197" i="32" s="1"/>
  <c r="M197" i="32"/>
  <c r="E19" i="36" s="1"/>
  <c r="B34" i="32"/>
  <c r="K160" i="32"/>
  <c r="K196" i="32" s="1"/>
  <c r="M196" i="32"/>
  <c r="E18" i="36" s="1"/>
  <c r="B33" i="32"/>
  <c r="J157" i="32"/>
  <c r="J193" i="32" s="1"/>
  <c r="L193" i="32" s="1"/>
  <c r="D15" i="36" s="1"/>
  <c r="A30" i="32"/>
  <c r="C30" i="32" s="1"/>
  <c r="L74" i="32"/>
  <c r="M205" i="32"/>
  <c r="E27" i="36" s="1"/>
  <c r="K169" i="32"/>
  <c r="K205" i="32" s="1"/>
  <c r="B42" i="32"/>
  <c r="K165" i="32"/>
  <c r="K201" i="32" s="1"/>
  <c r="M201" i="32"/>
  <c r="E23" i="36" s="1"/>
  <c r="B38" i="32"/>
  <c r="K156" i="32"/>
  <c r="B29" i="32"/>
  <c r="L100" i="32"/>
  <c r="P100" i="32" s="1"/>
  <c r="M120" i="32"/>
  <c r="K150" i="32" s="1"/>
  <c r="K185" i="32" s="1"/>
  <c r="E5" i="36" s="1"/>
  <c r="K66" i="32"/>
  <c r="K16" i="32"/>
  <c r="B32" i="32" l="1"/>
  <c r="J192" i="32"/>
  <c r="L192" i="32" s="1"/>
  <c r="D14" i="36" s="1"/>
  <c r="K170" i="32"/>
  <c r="M206" i="32"/>
  <c r="E28" i="36" s="1"/>
  <c r="K192" i="32"/>
  <c r="M192" i="32" s="1"/>
  <c r="E14" i="36" s="1"/>
  <c r="K172" i="32"/>
  <c r="C29" i="32"/>
  <c r="B43" i="32"/>
  <c r="K68" i="32"/>
  <c r="R16" i="32"/>
  <c r="C14" i="13"/>
  <c r="C13" i="13"/>
  <c r="K173" i="32" l="1"/>
  <c r="K206" i="32"/>
  <c r="B45" i="32"/>
  <c r="M109" i="32"/>
  <c r="J37" i="32" l="1"/>
  <c r="E37" i="32"/>
  <c r="J60" i="32" s="1"/>
  <c r="J33" i="32" l="1"/>
  <c r="E33" i="32"/>
  <c r="J39" i="32"/>
  <c r="E39" i="32"/>
  <c r="J62" i="32" s="1"/>
  <c r="J164" i="32"/>
  <c r="J200" i="32" s="1"/>
  <c r="L200" i="32"/>
  <c r="D22" i="36" s="1"/>
  <c r="A37" i="32"/>
  <c r="C37" i="32" s="1"/>
  <c r="L60" i="32"/>
  <c r="J42" i="32"/>
  <c r="E42" i="32"/>
  <c r="J65" i="32" s="1"/>
  <c r="J34" i="32"/>
  <c r="E34" i="32"/>
  <c r="J57" i="32" s="1"/>
  <c r="J35" i="32"/>
  <c r="E35" i="32"/>
  <c r="J58" i="32" s="1"/>
  <c r="J38" i="32"/>
  <c r="E38" i="32"/>
  <c r="J61" i="32" s="1"/>
  <c r="J165" i="32" l="1"/>
  <c r="J201" i="32" s="1"/>
  <c r="L201" i="32"/>
  <c r="D23" i="36" s="1"/>
  <c r="A38" i="32"/>
  <c r="C38" i="32" s="1"/>
  <c r="L61" i="32"/>
  <c r="J166" i="32"/>
  <c r="J202" i="32" s="1"/>
  <c r="L202" i="32"/>
  <c r="D24" i="36" s="1"/>
  <c r="A39" i="32"/>
  <c r="C39" i="32" s="1"/>
  <c r="L62" i="32"/>
  <c r="J56" i="32"/>
  <c r="J161" i="32"/>
  <c r="J197" i="32" s="1"/>
  <c r="L197" i="32"/>
  <c r="D19" i="36" s="1"/>
  <c r="A34" i="32"/>
  <c r="C34" i="32" s="1"/>
  <c r="L57" i="32"/>
  <c r="J162" i="32"/>
  <c r="L198" i="32"/>
  <c r="D20" i="36" s="1"/>
  <c r="A35" i="32"/>
  <c r="C35" i="32" s="1"/>
  <c r="L58" i="32"/>
  <c r="J169" i="32"/>
  <c r="J205" i="32" s="1"/>
  <c r="L205" i="32"/>
  <c r="D27" i="36" s="1"/>
  <c r="A42" i="32"/>
  <c r="C42" i="32" s="1"/>
  <c r="L65" i="32"/>
  <c r="J41" i="32"/>
  <c r="E41" i="32"/>
  <c r="J64" i="32" s="1"/>
  <c r="J198" i="32" l="1"/>
  <c r="J168" i="32"/>
  <c r="J204" i="32" s="1"/>
  <c r="L204" i="32"/>
  <c r="D26" i="36" s="1"/>
  <c r="L64" i="32"/>
  <c r="A41" i="32"/>
  <c r="C41" i="32" s="1"/>
  <c r="J160" i="32"/>
  <c r="J196" i="32" s="1"/>
  <c r="L196" i="32"/>
  <c r="D18" i="36" s="1"/>
  <c r="A33" i="32"/>
  <c r="L56" i="32"/>
  <c r="C33" i="32" l="1"/>
  <c r="J43" i="32"/>
  <c r="J45" i="32" s="1"/>
  <c r="E43" i="32"/>
  <c r="L45" i="32"/>
  <c r="J66" i="32" l="1"/>
  <c r="E45" i="32"/>
  <c r="J170" i="32" l="1"/>
  <c r="L206" i="32"/>
  <c r="D28" i="36" s="1"/>
  <c r="A43" i="32"/>
  <c r="L66" i="32"/>
  <c r="J68" i="32"/>
  <c r="C43" i="32" l="1"/>
  <c r="A45" i="32"/>
  <c r="C45" i="32" s="1"/>
  <c r="J31" i="32"/>
  <c r="J32" i="32" s="1"/>
  <c r="E31" i="32"/>
  <c r="J54" i="32" s="1"/>
  <c r="M82" i="32"/>
  <c r="L68" i="32"/>
  <c r="J206" i="32"/>
  <c r="J173" i="32"/>
  <c r="J158" i="32" l="1"/>
  <c r="A31" i="32"/>
  <c r="L75" i="32"/>
  <c r="L53" i="32"/>
  <c r="C31" i="32" l="1"/>
  <c r="A32" i="32"/>
  <c r="J194" i="32"/>
  <c r="L194" i="32" s="1"/>
  <c r="D16" i="36" s="1"/>
  <c r="J172" i="32"/>
  <c r="J16" i="32"/>
  <c r="N192" i="32" l="1"/>
  <c r="N194" i="32"/>
  <c r="N193" i="32"/>
  <c r="Y21" i="32"/>
  <c r="N204" i="32" l="1"/>
  <c r="N198" i="32"/>
  <c r="N197" i="32"/>
  <c r="N200" i="32"/>
  <c r="N205" i="32"/>
  <c r="N201" i="32"/>
  <c r="N206" i="32"/>
  <c r="N202" i="32"/>
  <c r="N196" i="32" l="1"/>
  <c r="P73" i="32"/>
  <c r="L103" i="32"/>
  <c r="L105" i="32" l="1"/>
  <c r="L110" i="32"/>
  <c r="V88" i="32"/>
  <c r="M87" i="32"/>
  <c r="N82" i="32"/>
  <c r="P74" i="32"/>
  <c r="L76" i="32"/>
  <c r="M102" i="32"/>
  <c r="M75" i="32"/>
  <c r="P101" i="32"/>
  <c r="N109" i="32" l="1"/>
  <c r="L83" i="32"/>
  <c r="L78" i="32"/>
  <c r="L111" i="32"/>
  <c r="M76" i="32"/>
  <c r="N75" i="32"/>
  <c r="N87" i="32"/>
  <c r="O87" i="32" s="1"/>
  <c r="N102" i="32"/>
  <c r="M103" i="32"/>
  <c r="O82" i="32"/>
  <c r="N114" i="32" l="1"/>
  <c r="O109" i="32"/>
  <c r="P109" i="32" s="1"/>
  <c r="P114" i="32" s="1"/>
  <c r="M114" i="32"/>
  <c r="V115" i="32"/>
  <c r="V116" i="32" s="1"/>
  <c r="M110" i="32"/>
  <c r="M105" i="32"/>
  <c r="N103" i="32"/>
  <c r="P102" i="32"/>
  <c r="P103" i="32" s="1"/>
  <c r="P105" i="32" s="1"/>
  <c r="N76" i="32"/>
  <c r="P75" i="32"/>
  <c r="P76" i="32" s="1"/>
  <c r="P78" i="32" s="1"/>
  <c r="M78" i="32"/>
  <c r="M83" i="32"/>
  <c r="M84" i="32" s="1"/>
  <c r="L84" i="32"/>
  <c r="O84" i="32"/>
  <c r="P82" i="32"/>
  <c r="L115" i="32"/>
  <c r="O111" i="32" l="1"/>
  <c r="O114" i="32"/>
  <c r="O115" i="32" s="1"/>
  <c r="N78" i="32"/>
  <c r="N83" i="32"/>
  <c r="M115" i="32"/>
  <c r="N115" i="32"/>
  <c r="V81" i="32"/>
  <c r="V89" i="32"/>
  <c r="U84" i="32"/>
  <c r="L88" i="32"/>
  <c r="N110" i="32"/>
  <c r="N111" i="32" s="1"/>
  <c r="N105" i="32"/>
  <c r="P87" i="32"/>
  <c r="M111" i="32"/>
  <c r="P110" i="32" l="1"/>
  <c r="L123" i="32" s="1"/>
  <c r="M122" i="32"/>
  <c r="K151" i="32" s="1"/>
  <c r="K186" i="32" s="1"/>
  <c r="E9" i="36" s="1"/>
  <c r="V108" i="32"/>
  <c r="N88" i="32"/>
  <c r="M88" i="32"/>
  <c r="O88" i="32"/>
  <c r="N84" i="32"/>
  <c r="P83" i="32"/>
  <c r="M93" i="32" l="1"/>
  <c r="J151" i="32" s="1"/>
  <c r="J186" i="32" s="1"/>
  <c r="D9" i="36" s="1"/>
  <c r="L120" i="32"/>
  <c r="P111" i="32"/>
  <c r="P118" i="32" s="1"/>
  <c r="L94" i="32"/>
  <c r="L91" i="32"/>
  <c r="M91" i="32" s="1"/>
  <c r="J150" i="32" s="1"/>
  <c r="J185" i="32" s="1"/>
  <c r="D5" i="36" s="1"/>
  <c r="P84" i="32"/>
  <c r="L92" i="32" s="1"/>
  <c r="L121" i="32" l="1"/>
</calcChain>
</file>

<file path=xl/sharedStrings.xml><?xml version="1.0" encoding="utf-8"?>
<sst xmlns="http://schemas.openxmlformats.org/spreadsheetml/2006/main" count="440" uniqueCount="260">
  <si>
    <t>Administration Cost</t>
  </si>
  <si>
    <t>Maintenance Cost</t>
  </si>
  <si>
    <t>Software Cost</t>
  </si>
  <si>
    <t>Operations Cost</t>
  </si>
  <si>
    <t>Data Movement Cost</t>
  </si>
  <si>
    <t xml:space="preserve">C-level Productivity </t>
  </si>
  <si>
    <t>Revenue Increase</t>
  </si>
  <si>
    <t>Faster Time to Value</t>
  </si>
  <si>
    <t>End to End Security</t>
  </si>
  <si>
    <t>Reduced Downtime</t>
  </si>
  <si>
    <t>Trusted Relations</t>
  </si>
  <si>
    <t>Improved Compliance</t>
  </si>
  <si>
    <t>Administrator</t>
  </si>
  <si>
    <t>Hardware Maintenance</t>
  </si>
  <si>
    <t>Software Maintenance</t>
  </si>
  <si>
    <t>Cost of moving 1 TB</t>
  </si>
  <si>
    <t xml:space="preserve">IT Professional Productivity </t>
  </si>
  <si>
    <t xml:space="preserve">Organizational Productivity </t>
  </si>
  <si>
    <t>Acquisition Cost</t>
  </si>
  <si>
    <t>Annual Licensing Cost</t>
  </si>
  <si>
    <t>License cost</t>
  </si>
  <si>
    <t>Personnel cost (Admin, Eng.)</t>
  </si>
  <si>
    <t>Backup and recovery</t>
  </si>
  <si>
    <t>Maintenance &amp; Repair</t>
  </si>
  <si>
    <t>Providing Security</t>
  </si>
  <si>
    <t>Taxes</t>
  </si>
  <si>
    <t>Server HW and SW</t>
  </si>
  <si>
    <t>Network HW and SW</t>
  </si>
  <si>
    <t>Installation</t>
  </si>
  <si>
    <t>Warrenties &amp; Licence</t>
  </si>
  <si>
    <t>Risks</t>
  </si>
  <si>
    <t>Power, cooling and floor space</t>
  </si>
  <si>
    <t>Downtime</t>
  </si>
  <si>
    <t xml:space="preserve">Testing &amp; Training </t>
  </si>
  <si>
    <t>Audit (Internal &amp; External)</t>
  </si>
  <si>
    <t>Insurance</t>
  </si>
  <si>
    <t>Workload time</t>
  </si>
  <si>
    <t>Reports per hour</t>
  </si>
  <si>
    <t>Cost per report per hour</t>
  </si>
  <si>
    <t>CFO</t>
  </si>
  <si>
    <t>CRO</t>
  </si>
  <si>
    <t>CIO</t>
  </si>
  <si>
    <t>CMO</t>
  </si>
  <si>
    <t>Data Scientist</t>
  </si>
  <si>
    <t>Data Engineer</t>
  </si>
  <si>
    <t>Analyst</t>
  </si>
  <si>
    <t>Developer</t>
  </si>
  <si>
    <t>Process Streamlining</t>
  </si>
  <si>
    <t>Governance</t>
  </si>
  <si>
    <t>Year 0</t>
  </si>
  <si>
    <t>Year 1</t>
  </si>
  <si>
    <t>Year 2</t>
  </si>
  <si>
    <t>Year 3</t>
  </si>
  <si>
    <t>Total</t>
  </si>
  <si>
    <t>Risk Adjustment</t>
  </si>
  <si>
    <t>Improved Revenue</t>
  </si>
  <si>
    <t>Hardware Maintenance Cost</t>
  </si>
  <si>
    <t>Reduced downtime</t>
  </si>
  <si>
    <t>Trusted Experiences</t>
  </si>
  <si>
    <t>C-level executive productivity</t>
  </si>
  <si>
    <t>IT personnel productivity</t>
  </si>
  <si>
    <t>Organizational Productivity</t>
  </si>
  <si>
    <t>Faster-time-to-value</t>
  </si>
  <si>
    <t>End-to-End Security</t>
  </si>
  <si>
    <t>Improved governance and compliance</t>
  </si>
  <si>
    <t>Total Benefits</t>
  </si>
  <si>
    <t>Total costs</t>
  </si>
  <si>
    <t>Operations cost</t>
  </si>
  <si>
    <t>Financial Instrument</t>
  </si>
  <si>
    <t>Total Costs</t>
  </si>
  <si>
    <t>Margin</t>
  </si>
  <si>
    <t>Return on Investment</t>
  </si>
  <si>
    <t>Net Present Value</t>
  </si>
  <si>
    <t>Total Cost of Ownership</t>
  </si>
  <si>
    <t>Risk Adjusted Total Costs</t>
  </si>
  <si>
    <t>Small</t>
  </si>
  <si>
    <t>Medium</t>
  </si>
  <si>
    <t>Large</t>
  </si>
  <si>
    <t>Finance</t>
  </si>
  <si>
    <t>Healthcare</t>
  </si>
  <si>
    <t>Telecom</t>
  </si>
  <si>
    <t xml:space="preserve">Healthcare </t>
  </si>
  <si>
    <t>Industry</t>
  </si>
  <si>
    <t>Use Case</t>
  </si>
  <si>
    <t>End of Period Processing</t>
  </si>
  <si>
    <t>Retail</t>
  </si>
  <si>
    <t>Improve Claims Optimization</t>
  </si>
  <si>
    <t>Prevent Customer Churn</t>
  </si>
  <si>
    <t xml:space="preserve">Use Case 1 </t>
  </si>
  <si>
    <t>Use Case 2</t>
  </si>
  <si>
    <t xml:space="preserve">Industry </t>
  </si>
  <si>
    <t>Investment</t>
  </si>
  <si>
    <t>Quadrant 2</t>
  </si>
  <si>
    <t>Quadrant 3</t>
  </si>
  <si>
    <t>SMALL</t>
  </si>
  <si>
    <t>MEDIUM</t>
  </si>
  <si>
    <t>LARGE</t>
  </si>
  <si>
    <t>X86</t>
  </si>
  <si>
    <t>Z14</t>
  </si>
  <si>
    <t>Number of cores</t>
  </si>
  <si>
    <t>Space</t>
  </si>
  <si>
    <t>Electricity</t>
  </si>
  <si>
    <t>Beenfits of Z14</t>
  </si>
  <si>
    <t>Security</t>
  </si>
  <si>
    <t>Availability</t>
  </si>
  <si>
    <t>Scalability</t>
  </si>
  <si>
    <t>Manageability</t>
  </si>
  <si>
    <t>Analytics</t>
  </si>
  <si>
    <t>Prevent Fraud</t>
  </si>
  <si>
    <t>Reduce customer chrun</t>
  </si>
  <si>
    <t>Cross sell and upsell opportunities</t>
  </si>
  <si>
    <t>Operating volume</t>
  </si>
  <si>
    <t>SPEED</t>
  </si>
  <si>
    <r>
      <t>•</t>
    </r>
    <r>
      <rPr>
        <sz val="11"/>
        <color rgb="FF080808"/>
        <rFont val="Arial"/>
        <family val="2"/>
      </rPr>
      <t>Dramatically improve query response – up to 2000X faster – to support time-sensitive decisions</t>
    </r>
  </si>
  <si>
    <r>
      <t>•</t>
    </r>
    <r>
      <rPr>
        <sz val="11"/>
        <color rgb="FF080808"/>
        <rFont val="Arial"/>
        <family val="2"/>
      </rPr>
      <t>Right-time. Low latency. Trusted. Accurate.</t>
    </r>
  </si>
  <si>
    <t>Benefits of Z4</t>
  </si>
  <si>
    <t>SAVINGS</t>
  </si>
  <si>
    <r>
      <t>•</t>
    </r>
    <r>
      <rPr>
        <sz val="11"/>
        <color rgb="FF080808"/>
        <rFont val="Arial"/>
        <family val="2"/>
      </rPr>
      <t>Minimize data proliferation</t>
    </r>
  </si>
  <si>
    <r>
      <t>•</t>
    </r>
    <r>
      <rPr>
        <sz val="11"/>
        <color rgb="FF080808"/>
        <rFont val="Arial"/>
        <family val="2"/>
      </rPr>
      <t>Lower the cost of storing and managing historical data</t>
    </r>
  </si>
  <si>
    <r>
      <t>•</t>
    </r>
    <r>
      <rPr>
        <sz val="11"/>
        <color rgb="FF080808"/>
        <rFont val="Arial"/>
        <family val="2"/>
      </rPr>
      <t xml:space="preserve">Free up compute resources </t>
    </r>
  </si>
  <si>
    <t>SECURITY</t>
  </si>
  <si>
    <t>Protected. Secured. Governed.</t>
  </si>
  <si>
    <r>
      <t>•</t>
    </r>
    <r>
      <rPr>
        <sz val="11"/>
        <color rgb="FF000000"/>
        <rFont val="Arial"/>
        <family val="2"/>
      </rPr>
      <t xml:space="preserve">Safeguard valuable data under the control and security of DB2 for z/OS </t>
    </r>
  </si>
  <si>
    <t>SIMPLICITY</t>
  </si>
  <si>
    <r>
      <t>•</t>
    </r>
    <r>
      <rPr>
        <sz val="11"/>
        <color rgb="FF080808"/>
        <rFont val="Arial"/>
        <family val="2"/>
      </rPr>
      <t xml:space="preserve">Simplify infrastructure, reduce ETL and data movement off-platform </t>
    </r>
  </si>
  <si>
    <r>
      <t>•</t>
    </r>
    <r>
      <rPr>
        <sz val="11"/>
        <color rgb="FF080808"/>
        <rFont val="Arial"/>
        <family val="2"/>
      </rPr>
      <t>Non-disruptive installation</t>
    </r>
  </si>
  <si>
    <r>
      <t>•</t>
    </r>
    <r>
      <rPr>
        <sz val="14"/>
        <color rgb="FF000000"/>
        <rFont val="Arial"/>
        <family val="2"/>
      </rPr>
      <t>Isolation of users in a separate address space</t>
    </r>
  </si>
  <si>
    <r>
      <t>•</t>
    </r>
    <r>
      <rPr>
        <sz val="14"/>
        <color rgb="FF000000"/>
        <rFont val="Arial"/>
        <family val="2"/>
      </rPr>
      <t>Processing integrity with LPAR separation (PR/SM)</t>
    </r>
  </si>
  <si>
    <r>
      <t>•</t>
    </r>
    <r>
      <rPr>
        <sz val="14"/>
        <color rgb="FF000000"/>
        <rFont val="Arial"/>
        <family val="2"/>
      </rPr>
      <t>HiperSockets - In memory communication between LPARs</t>
    </r>
  </si>
  <si>
    <r>
      <t>•</t>
    </r>
    <r>
      <rPr>
        <sz val="14"/>
        <color rgb="FF000000"/>
        <rFont val="Arial"/>
        <family val="2"/>
      </rPr>
      <t>System programs separated from user programs</t>
    </r>
  </si>
  <si>
    <r>
      <t>•</t>
    </r>
    <r>
      <rPr>
        <sz val="14"/>
        <color rgb="FF000000"/>
        <rFont val="Arial"/>
        <family val="2"/>
      </rPr>
      <t xml:space="preserve">Authorized Program Facility (APF) </t>
    </r>
  </si>
  <si>
    <r>
      <t>•</t>
    </r>
    <r>
      <rPr>
        <sz val="14"/>
        <color rgb="FF000000"/>
        <rFont val="Arial"/>
        <family val="2"/>
      </rPr>
      <t>Strict division between privileged and non-privileged instructions</t>
    </r>
  </si>
  <si>
    <r>
      <t>•</t>
    </r>
    <r>
      <rPr>
        <sz val="14"/>
        <color rgb="FF000000"/>
        <rFont val="Arial"/>
        <family val="2"/>
      </rPr>
      <t>Strict division between configuration hardware (SE) and runtime hardware</t>
    </r>
  </si>
  <si>
    <r>
      <t>•</t>
    </r>
    <r>
      <rPr>
        <sz val="14"/>
        <color rgb="FF000000"/>
        <rFont val="Arial"/>
        <family val="2"/>
      </rPr>
      <t>No access to privileged state unless authorized</t>
    </r>
  </si>
  <si>
    <r>
      <t>•</t>
    </r>
    <r>
      <rPr>
        <sz val="14"/>
        <color rgb="FF000000"/>
        <rFont val="Arial"/>
        <family val="2"/>
      </rPr>
      <t>z Systems Firmware</t>
    </r>
  </si>
  <si>
    <r>
      <t>•</t>
    </r>
    <r>
      <rPr>
        <sz val="14"/>
        <color rgb="FF000000"/>
        <rFont val="Arial"/>
        <family val="2"/>
      </rPr>
      <t>High speed cryptography integrated on the new Crypto Express4S chip</t>
    </r>
  </si>
  <si>
    <r>
      <t>•</t>
    </r>
    <r>
      <rPr>
        <sz val="14"/>
        <color rgb="FF000000"/>
        <rFont val="Arial"/>
        <family val="2"/>
      </rPr>
      <t>Enhanced digital signature capability with new Enterprise PKCS #11</t>
    </r>
  </si>
  <si>
    <r>
      <t>•</t>
    </r>
    <r>
      <rPr>
        <sz val="14"/>
        <color rgb="FF000000"/>
        <rFont val="Arial"/>
        <family val="2"/>
      </rPr>
      <t>New credit transaction verification support for smart payment cards</t>
    </r>
  </si>
  <si>
    <r>
      <t>•</t>
    </r>
    <r>
      <rPr>
        <sz val="14"/>
        <color rgb="FF000000"/>
        <rFont val="Arial"/>
        <family val="2"/>
      </rPr>
      <t>Enterprise Key Management Foundation</t>
    </r>
  </si>
  <si>
    <r>
      <t>•</t>
    </r>
    <r>
      <rPr>
        <sz val="14"/>
        <color rgb="FF000000"/>
        <rFont val="Arial"/>
        <family val="2"/>
      </rPr>
      <t>Viruses cannot be readily introduced</t>
    </r>
  </si>
  <si>
    <t>Quadrant 4</t>
  </si>
  <si>
    <t>Type of Analytics</t>
  </si>
  <si>
    <t>Inputs to the Model</t>
  </si>
  <si>
    <t xml:space="preserve">Very Large </t>
  </si>
  <si>
    <t>Hardware Acquisition Cost</t>
  </si>
  <si>
    <t>Software Cost / year</t>
  </si>
  <si>
    <t>IBM Software Cost / year</t>
  </si>
  <si>
    <t>Mainframe Software Cost /  year</t>
  </si>
  <si>
    <t>Manpower</t>
  </si>
  <si>
    <t>Number of TB of Data</t>
  </si>
  <si>
    <t>From HP</t>
  </si>
  <si>
    <t>Time Period</t>
  </si>
  <si>
    <t>Total inflow</t>
  </si>
  <si>
    <t>Amount Left to Pay</t>
  </si>
  <si>
    <t>If investment is betweeen 1 -3 million - small, 3 - 5 million medim; 5 - 10 million is Large; &gt; 10 million is very large</t>
  </si>
  <si>
    <t>IBM Machine Learning</t>
  </si>
  <si>
    <t>Open Data Analytics</t>
  </si>
  <si>
    <t>IBM DB2 Analytics Accelerator</t>
  </si>
  <si>
    <t>Software Acquisition Cost</t>
  </si>
  <si>
    <t>System Acquisition Cost</t>
  </si>
  <si>
    <t>Quadrant 1</t>
  </si>
  <si>
    <t>ROI</t>
  </si>
  <si>
    <t>Payback</t>
  </si>
  <si>
    <t>ROI Conversion Table</t>
  </si>
  <si>
    <t>Industry Multiplier</t>
  </si>
  <si>
    <t>Z14 Category</t>
  </si>
  <si>
    <t>X86 Category</t>
  </si>
  <si>
    <t>Use Case Multiplier</t>
  </si>
  <si>
    <t>Improve care and reduce cost</t>
  </si>
  <si>
    <t xml:space="preserve">Quality of Customer Experience </t>
  </si>
  <si>
    <t>Reduce Risk and Fraud</t>
  </si>
  <si>
    <t>Revenue from Loyalty Programs</t>
  </si>
  <si>
    <t>Reveue form User Experience</t>
  </si>
  <si>
    <t>Use case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</si>
  <si>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</si>
  <si>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</si>
  <si>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</si>
  <si>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</si>
  <si>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</si>
  <si>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</si>
  <si>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</si>
  <si>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</si>
  <si>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</si>
  <si>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</si>
  <si>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</si>
  <si>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</si>
  <si>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Yearly Cost and Benefits Table</t>
  </si>
  <si>
    <t>END RANGE</t>
  </si>
  <si>
    <t>BEGIN Range</t>
  </si>
  <si>
    <t>Chosen Range</t>
  </si>
  <si>
    <t>Payback Period  Years and Months</t>
  </si>
  <si>
    <t>Payback Period Yeard and Months</t>
  </si>
  <si>
    <t>Ratio</t>
  </si>
  <si>
    <t>S-m</t>
  </si>
  <si>
    <t>m-l</t>
  </si>
  <si>
    <t>Very Small</t>
  </si>
  <si>
    <t>Low Range</t>
  </si>
  <si>
    <t>High Range</t>
  </si>
  <si>
    <t>ROI Multiplier</t>
  </si>
  <si>
    <t>Cost Multiplier</t>
  </si>
  <si>
    <t>Benefit Multiplier</t>
  </si>
  <si>
    <t xml:space="preserve">Chosen Industry </t>
  </si>
  <si>
    <t>Chosen Use Case</t>
  </si>
  <si>
    <t>Chosen Analytics Type</t>
  </si>
  <si>
    <t>ROI for the given problem</t>
  </si>
  <si>
    <t>Payback Period for the given problem</t>
  </si>
  <si>
    <t>Output Values</t>
  </si>
  <si>
    <t>Costs and Benefits per Quadrant</t>
  </si>
  <si>
    <t>Quadrant 1 - Costs</t>
  </si>
  <si>
    <t>Quadrant 2 - Productivity</t>
  </si>
  <si>
    <t>Quadrant 3 - Revenue</t>
  </si>
  <si>
    <t>Quadrant 4 - Risk</t>
  </si>
  <si>
    <t>Customer Input from the Input Page</t>
  </si>
  <si>
    <t>Output</t>
  </si>
  <si>
    <t>Payback {eriod</t>
  </si>
  <si>
    <t>Difference</t>
  </si>
  <si>
    <t>Values</t>
  </si>
  <si>
    <t>Payback Period</t>
  </si>
  <si>
    <t>ROI - Z14</t>
  </si>
  <si>
    <t>ROI - X86</t>
  </si>
  <si>
    <t>Payback Z14</t>
  </si>
  <si>
    <t>Payback X86</t>
  </si>
  <si>
    <t>SY - Z14</t>
  </si>
  <si>
    <t>OC-X26</t>
  </si>
  <si>
    <t>OC-Z14</t>
  </si>
  <si>
    <t>SY-X26</t>
  </si>
  <si>
    <t>SA-X26</t>
  </si>
  <si>
    <t>SA- Z14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</si>
  <si>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</si>
  <si>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</si>
  <si>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</si>
  <si>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</si>
  <si>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</si>
  <si>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</si>
  <si>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</si>
  <si>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</si>
  <si>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</si>
  <si>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</si>
  <si>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</si>
  <si>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</si>
  <si>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</si>
  <si>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</si>
  <si>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</si>
  <si>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</si>
  <si>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</si>
  <si>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</si>
  <si>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</si>
  <si>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</si>
  <si>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</si>
  <si>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</si>
  <si>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</si>
  <si>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</si>
  <si>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</si>
  <si>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</si>
  <si>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</si>
  <si>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</si>
  <si>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</si>
  <si>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</si>
  <si>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New Formula</t>
  </si>
  <si>
    <t>Change in this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</si>
</sst>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0.000"/>
    <numFmt numFmtId="168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rgb="FF080808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30" applyNumberFormat="0" applyFill="0" applyAlignment="0" applyProtection="0"/>
  </cellStyleXfs>
  <cellXfs count="308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/>
    <xf numFmtId="165" fontId="0" fillId="0" borderId="0" xfId="0" applyNumberFormat="1" applyBorder="1"/>
    <xf numFmtId="0" fontId="0" fillId="0" borderId="10" xfId="0" applyBorder="1"/>
    <xf numFmtId="2" fontId="0" fillId="0" borderId="0" xfId="0" applyNumberFormat="1" applyBorder="1"/>
    <xf numFmtId="0" fontId="0" fillId="0" borderId="6" xfId="0" applyBorder="1"/>
    <xf numFmtId="9" fontId="0" fillId="0" borderId="0" xfId="0" applyNumberFormat="1" applyBorder="1"/>
    <xf numFmtId="0" fontId="2" fillId="2" borderId="1" xfId="0" applyFont="1" applyFill="1" applyBorder="1" applyAlignment="1">
      <alignment horizontal="left" vertical="center"/>
    </xf>
    <xf numFmtId="0" fontId="0" fillId="0" borderId="9" xfId="0" applyBorder="1"/>
    <xf numFmtId="0" fontId="0" fillId="0" borderId="11" xfId="0" applyBorder="1"/>
    <xf numFmtId="0" fontId="3" fillId="2" borderId="0" xfId="0" applyFont="1" applyFill="1"/>
    <xf numFmtId="0" fontId="4" fillId="0" borderId="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/>
    <xf numFmtId="0" fontId="5" fillId="2" borderId="2" xfId="0" applyFont="1" applyFill="1" applyBorder="1" applyAlignment="1">
      <alignment horizontal="center" vertical="center"/>
    </xf>
    <xf numFmtId="0" fontId="4" fillId="0" borderId="0" xfId="0" applyFont="1" applyBorder="1"/>
    <xf numFmtId="0" fontId="4" fillId="0" borderId="10" xfId="0" applyFont="1" applyBorder="1"/>
    <xf numFmtId="165" fontId="4" fillId="0" borderId="0" xfId="0" applyNumberFormat="1" applyFont="1" applyBorder="1"/>
    <xf numFmtId="0" fontId="4" fillId="0" borderId="0" xfId="0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left" vertical="center"/>
    </xf>
    <xf numFmtId="0" fontId="0" fillId="0" borderId="0" xfId="0" applyFill="1" applyBorder="1"/>
    <xf numFmtId="165" fontId="0" fillId="0" borderId="0" xfId="0" applyNumberFormat="1" applyFill="1" applyBorder="1"/>
    <xf numFmtId="10" fontId="0" fillId="0" borderId="0" xfId="1" applyNumberFormat="1" applyFont="1"/>
    <xf numFmtId="165" fontId="4" fillId="0" borderId="0" xfId="1" applyNumberFormat="1" applyFont="1" applyFill="1" applyBorder="1" applyAlignment="1">
      <alignment horizontal="center" vertical="center"/>
    </xf>
    <xf numFmtId="165" fontId="5" fillId="0" borderId="5" xfId="0" applyNumberFormat="1" applyFont="1" applyFill="1" applyBorder="1" applyAlignment="1">
      <alignment horizontal="center" vertical="center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165" fontId="4" fillId="0" borderId="7" xfId="0" applyNumberFormat="1" applyFont="1" applyBorder="1"/>
    <xf numFmtId="0" fontId="0" fillId="3" borderId="13" xfId="0" applyFill="1" applyBorder="1"/>
    <xf numFmtId="9" fontId="4" fillId="3" borderId="14" xfId="1" applyFont="1" applyFill="1" applyBorder="1"/>
    <xf numFmtId="0" fontId="0" fillId="3" borderId="15" xfId="0" applyFill="1" applyBorder="1"/>
    <xf numFmtId="165" fontId="4" fillId="3" borderId="16" xfId="0" applyNumberFormat="1" applyFont="1" applyFill="1" applyBorder="1"/>
    <xf numFmtId="0" fontId="0" fillId="3" borderId="17" xfId="0" applyFill="1" applyBorder="1"/>
    <xf numFmtId="165" fontId="4" fillId="3" borderId="18" xfId="0" applyNumberFormat="1" applyFont="1" applyFill="1" applyBorder="1" applyAlignment="1">
      <alignment horizontal="right"/>
    </xf>
    <xf numFmtId="164" fontId="4" fillId="0" borderId="2" xfId="1" applyNumberFormat="1" applyFont="1" applyBorder="1"/>
    <xf numFmtId="165" fontId="0" fillId="0" borderId="2" xfId="0" applyNumberFormat="1" applyBorder="1"/>
    <xf numFmtId="165" fontId="4" fillId="0" borderId="5" xfId="0" applyNumberFormat="1" applyFont="1" applyBorder="1"/>
    <xf numFmtId="0" fontId="0" fillId="5" borderId="4" xfId="0" applyFill="1" applyBorder="1"/>
    <xf numFmtId="165" fontId="0" fillId="5" borderId="0" xfId="0" applyNumberFormat="1" applyFill="1" applyBorder="1"/>
    <xf numFmtId="9" fontId="4" fillId="0" borderId="7" xfId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4" borderId="9" xfId="0" applyFont="1" applyFill="1" applyBorder="1" applyAlignment="1">
      <alignment horizontal="left" vertical="center"/>
    </xf>
    <xf numFmtId="0" fontId="4" fillId="4" borderId="19" xfId="0" applyFont="1" applyFill="1" applyBorder="1" applyAlignment="1">
      <alignment horizontal="left" vertical="center"/>
    </xf>
    <xf numFmtId="165" fontId="4" fillId="4" borderId="20" xfId="1" applyNumberFormat="1" applyFont="1" applyFill="1" applyBorder="1" applyAlignment="1">
      <alignment horizontal="center" vertical="center"/>
    </xf>
    <xf numFmtId="165" fontId="4" fillId="4" borderId="21" xfId="1" applyNumberFormat="1" applyFont="1" applyFill="1" applyBorder="1" applyAlignment="1">
      <alignment horizontal="center" vertical="center"/>
    </xf>
    <xf numFmtId="9" fontId="4" fillId="0" borderId="8" xfId="1" applyFont="1" applyFill="1" applyBorder="1" applyAlignment="1">
      <alignment horizontal="center" vertical="center"/>
    </xf>
    <xf numFmtId="165" fontId="4" fillId="4" borderId="10" xfId="0" applyNumberFormat="1" applyFont="1" applyFill="1" applyBorder="1"/>
    <xf numFmtId="165" fontId="4" fillId="4" borderId="11" xfId="0" applyNumberFormat="1" applyFont="1" applyFill="1" applyBorder="1"/>
    <xf numFmtId="3" fontId="0" fillId="0" borderId="0" xfId="0" applyNumberFormat="1"/>
    <xf numFmtId="9" fontId="0" fillId="0" borderId="0" xfId="0" applyNumberFormat="1"/>
    <xf numFmtId="164" fontId="0" fillId="0" borderId="0" xfId="0" applyNumberFormat="1"/>
    <xf numFmtId="9" fontId="0" fillId="0" borderId="0" xfId="1" applyFont="1"/>
    <xf numFmtId="0" fontId="0" fillId="4" borderId="0" xfId="0" applyFill="1"/>
    <xf numFmtId="165" fontId="0" fillId="0" borderId="0" xfId="0" applyNumberFormat="1"/>
    <xf numFmtId="0" fontId="0" fillId="3" borderId="4" xfId="0" applyFill="1" applyBorder="1"/>
    <xf numFmtId="0" fontId="0" fillId="0" borderId="0" xfId="0" applyFont="1" applyAlignment="1">
      <alignment horizontal="left" vertical="center" indent="1" readingOrder="1"/>
    </xf>
    <xf numFmtId="0" fontId="10" fillId="0" borderId="0" xfId="0" applyFont="1"/>
    <xf numFmtId="0" fontId="7" fillId="3" borderId="0" xfId="0" applyFont="1" applyFill="1" applyAlignment="1">
      <alignment horizontal="left" vertical="center" indent="1" readingOrder="1"/>
    </xf>
    <xf numFmtId="0" fontId="11" fillId="3" borderId="0" xfId="0" applyFont="1" applyFill="1" applyAlignment="1">
      <alignment horizontal="left" vertical="center" indent="1" readingOrder="1"/>
    </xf>
    <xf numFmtId="0" fontId="12" fillId="0" borderId="22" xfId="0" applyFont="1" applyBorder="1" applyAlignment="1">
      <alignment horizontal="left" vertical="center" wrapText="1" indent="3" readingOrder="1"/>
    </xf>
    <xf numFmtId="0" fontId="12" fillId="0" borderId="23" xfId="0" applyFont="1" applyBorder="1" applyAlignment="1">
      <alignment horizontal="left" vertical="center" wrapText="1" indent="3" readingOrder="1"/>
    </xf>
    <xf numFmtId="0" fontId="12" fillId="0" borderId="24" xfId="0" applyFont="1" applyBorder="1" applyAlignment="1">
      <alignment horizontal="left" vertical="center" wrapText="1" indent="3" readingOrder="1"/>
    </xf>
    <xf numFmtId="0" fontId="12" fillId="0" borderId="25" xfId="0" applyFont="1" applyBorder="1" applyAlignment="1">
      <alignment horizontal="left" vertical="center" wrapText="1" indent="3" readingOrder="1"/>
    </xf>
    <xf numFmtId="0" fontId="12" fillId="0" borderId="26" xfId="0" applyFont="1" applyBorder="1" applyAlignment="1">
      <alignment horizontal="left" vertical="center" wrapText="1" indent="3" readingOrder="1"/>
    </xf>
    <xf numFmtId="0" fontId="12" fillId="0" borderId="27" xfId="0" applyFont="1" applyBorder="1" applyAlignment="1">
      <alignment horizontal="left" vertical="center" wrapText="1" indent="3" readingOrder="1"/>
    </xf>
    <xf numFmtId="2" fontId="0" fillId="0" borderId="0" xfId="0" applyNumberFormat="1"/>
    <xf numFmtId="9" fontId="0" fillId="0" borderId="0" xfId="1" applyFont="1" applyBorder="1"/>
    <xf numFmtId="9" fontId="0" fillId="0" borderId="0" xfId="0" applyNumberFormat="1" applyFill="1"/>
    <xf numFmtId="0" fontId="0" fillId="2" borderId="1" xfId="0" applyFill="1" applyBorder="1"/>
    <xf numFmtId="0" fontId="0" fillId="0" borderId="2" xfId="0" applyBorder="1"/>
    <xf numFmtId="0" fontId="0" fillId="0" borderId="4" xfId="0" applyFill="1" applyBorder="1"/>
    <xf numFmtId="165" fontId="0" fillId="0" borderId="5" xfId="0" applyNumberFormat="1" applyBorder="1"/>
    <xf numFmtId="1" fontId="4" fillId="0" borderId="0" xfId="0" applyNumberFormat="1" applyFont="1" applyBorder="1"/>
    <xf numFmtId="1" fontId="4" fillId="0" borderId="5" xfId="0" applyNumberFormat="1" applyFont="1" applyBorder="1"/>
    <xf numFmtId="2" fontId="0" fillId="0" borderId="0" xfId="0" applyNumberFormat="1" applyFill="1" applyBorder="1"/>
    <xf numFmtId="0" fontId="0" fillId="0" borderId="2" xfId="0" applyFill="1" applyBorder="1"/>
    <xf numFmtId="9" fontId="0" fillId="0" borderId="5" xfId="0" applyNumberFormat="1" applyBorder="1"/>
    <xf numFmtId="165" fontId="0" fillId="0" borderId="5" xfId="0" applyNumberFormat="1" applyFill="1" applyBorder="1"/>
    <xf numFmtId="2" fontId="0" fillId="0" borderId="5" xfId="0" applyNumberFormat="1" applyBorder="1"/>
    <xf numFmtId="9" fontId="0" fillId="0" borderId="10" xfId="0" applyNumberFormat="1" applyBorder="1"/>
    <xf numFmtId="9" fontId="0" fillId="0" borderId="11" xfId="0" applyNumberFormat="1" applyBorder="1"/>
    <xf numFmtId="0" fontId="0" fillId="0" borderId="1" xfId="0" applyFill="1" applyBorder="1"/>
    <xf numFmtId="0" fontId="3" fillId="0" borderId="0" xfId="0" applyFont="1"/>
    <xf numFmtId="0" fontId="15" fillId="0" borderId="0" xfId="5" applyFont="1" applyAlignment="1">
      <alignment horizontal="right"/>
    </xf>
    <xf numFmtId="0" fontId="17" fillId="0" borderId="31" xfId="0" applyFont="1" applyBorder="1"/>
    <xf numFmtId="0" fontId="17" fillId="0" borderId="0" xfId="0" applyFont="1"/>
    <xf numFmtId="165" fontId="17" fillId="0" borderId="31" xfId="0" applyNumberFormat="1" applyFont="1" applyBorder="1" applyAlignment="1">
      <alignment horizontal="left" vertical="top"/>
    </xf>
    <xf numFmtId="165" fontId="17" fillId="0" borderId="0" xfId="0" applyNumberFormat="1" applyFont="1" applyAlignment="1">
      <alignment horizontal="left" vertical="top"/>
    </xf>
    <xf numFmtId="0" fontId="16" fillId="0" borderId="0" xfId="0" applyFont="1" applyBorder="1" applyAlignment="1">
      <alignment horizontal="left"/>
    </xf>
    <xf numFmtId="0" fontId="18" fillId="0" borderId="0" xfId="5" applyFont="1" applyAlignment="1">
      <alignment horizontal="right"/>
    </xf>
    <xf numFmtId="0" fontId="0" fillId="0" borderId="7" xfId="0" applyBorder="1"/>
    <xf numFmtId="165" fontId="0" fillId="0" borderId="7" xfId="0" applyNumberFormat="1" applyBorder="1"/>
    <xf numFmtId="0" fontId="2" fillId="2" borderId="2" xfId="0" applyFont="1" applyFill="1" applyBorder="1"/>
    <xf numFmtId="165" fontId="0" fillId="0" borderId="8" xfId="0" applyNumberFormat="1" applyBorder="1"/>
    <xf numFmtId="0" fontId="0" fillId="4" borderId="4" xfId="0" applyFill="1" applyBorder="1"/>
    <xf numFmtId="0" fontId="0" fillId="4" borderId="0" xfId="0" applyFill="1" applyBorder="1"/>
    <xf numFmtId="165" fontId="0" fillId="4" borderId="0" xfId="0" applyNumberFormat="1" applyFill="1" applyBorder="1"/>
    <xf numFmtId="165" fontId="0" fillId="4" borderId="5" xfId="0" applyNumberFormat="1" applyFill="1" applyBorder="1"/>
    <xf numFmtId="0" fontId="3" fillId="2" borderId="1" xfId="0" applyFont="1" applyFill="1" applyBorder="1"/>
    <xf numFmtId="0" fontId="3" fillId="2" borderId="4" xfId="0" applyFont="1" applyFill="1" applyBorder="1"/>
    <xf numFmtId="0" fontId="3" fillId="2" borderId="4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0" fillId="0" borderId="0" xfId="0" applyNumberFormat="1"/>
    <xf numFmtId="2" fontId="4" fillId="0" borderId="0" xfId="0" applyNumberFormat="1" applyFont="1" applyFill="1" applyBorder="1"/>
    <xf numFmtId="9" fontId="0" fillId="0" borderId="5" xfId="1" applyFont="1" applyBorder="1"/>
    <xf numFmtId="0" fontId="4" fillId="8" borderId="4" xfId="0" applyFont="1" applyFill="1" applyBorder="1" applyAlignment="1">
      <alignment horizontal="left" vertical="center"/>
    </xf>
    <xf numFmtId="0" fontId="0" fillId="8" borderId="0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9" xfId="0" applyFill="1" applyBorder="1"/>
    <xf numFmtId="0" fontId="0" fillId="8" borderId="10" xfId="0" applyFill="1" applyBorder="1"/>
    <xf numFmtId="166" fontId="0" fillId="0" borderId="0" xfId="0" applyNumberFormat="1"/>
    <xf numFmtId="9" fontId="0" fillId="0" borderId="0" xfId="1" applyNumberFormat="1" applyFont="1"/>
    <xf numFmtId="0" fontId="3" fillId="7" borderId="4" xfId="0" applyFont="1" applyFill="1" applyBorder="1"/>
    <xf numFmtId="0" fontId="16" fillId="0" borderId="0" xfId="0" applyFont="1"/>
    <xf numFmtId="9" fontId="0" fillId="0" borderId="0" xfId="1" applyFont="1" applyAlignment="1">
      <alignment vertical="center"/>
    </xf>
    <xf numFmtId="2" fontId="0" fillId="0" borderId="0" xfId="1" applyNumberFormat="1" applyFont="1" applyAlignment="1">
      <alignment vertical="center"/>
    </xf>
    <xf numFmtId="0" fontId="2" fillId="2" borderId="1" xfId="0" applyFont="1" applyFill="1" applyBorder="1"/>
    <xf numFmtId="166" fontId="2" fillId="2" borderId="3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6" fontId="0" fillId="0" borderId="4" xfId="0" applyNumberFormat="1" applyBorder="1"/>
    <xf numFmtId="166" fontId="0" fillId="0" borderId="9" xfId="0" applyNumberFormat="1" applyBorder="1"/>
    <xf numFmtId="166" fontId="3" fillId="2" borderId="1" xfId="0" applyNumberFormat="1" applyFont="1" applyFill="1" applyBorder="1"/>
    <xf numFmtId="166" fontId="3" fillId="2" borderId="2" xfId="0" applyNumberFormat="1" applyFont="1" applyFill="1" applyBorder="1"/>
    <xf numFmtId="166" fontId="3" fillId="2" borderId="3" xfId="0" applyNumberFormat="1" applyFont="1" applyFill="1" applyBorder="1"/>
    <xf numFmtId="166" fontId="0" fillId="0" borderId="0" xfId="0" applyNumberFormat="1" applyBorder="1"/>
    <xf numFmtId="166" fontId="0" fillId="0" borderId="10" xfId="0" applyNumberFormat="1" applyBorder="1"/>
    <xf numFmtId="166" fontId="0" fillId="0" borderId="11" xfId="0" applyNumberFormat="1" applyBorder="1"/>
    <xf numFmtId="165" fontId="0" fillId="9" borderId="0" xfId="0" applyNumberFormat="1" applyFill="1" applyBorder="1"/>
    <xf numFmtId="165" fontId="0" fillId="9" borderId="5" xfId="0" applyNumberForma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10" borderId="2" xfId="0" applyFont="1" applyFill="1" applyBorder="1"/>
    <xf numFmtId="166" fontId="3" fillId="10" borderId="3" xfId="0" applyNumberFormat="1" applyFont="1" applyFill="1" applyBorder="1"/>
    <xf numFmtId="0" fontId="5" fillId="10" borderId="1" xfId="0" applyFont="1" applyFill="1" applyBorder="1"/>
    <xf numFmtId="165" fontId="0" fillId="0" borderId="0" xfId="1" applyNumberFormat="1" applyFont="1" applyBorder="1"/>
    <xf numFmtId="0" fontId="2" fillId="2" borderId="2" xfId="0" applyFont="1" applyFill="1" applyBorder="1" applyAlignment="1">
      <alignment horizontal="left" vertical="center"/>
    </xf>
    <xf numFmtId="0" fontId="4" fillId="4" borderId="20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left" vertical="center"/>
    </xf>
    <xf numFmtId="0" fontId="4" fillId="4" borderId="10" xfId="0" applyFont="1" applyFill="1" applyBorder="1" applyAlignment="1">
      <alignment horizontal="left" vertical="center"/>
    </xf>
    <xf numFmtId="0" fontId="0" fillId="3" borderId="33" xfId="0" applyFill="1" applyBorder="1"/>
    <xf numFmtId="0" fontId="0" fillId="3" borderId="34" xfId="0" applyFill="1" applyBorder="1"/>
    <xf numFmtId="0" fontId="0" fillId="3" borderId="12" xfId="0" applyFill="1" applyBorder="1"/>
    <xf numFmtId="0" fontId="3" fillId="2" borderId="2" xfId="0" applyFont="1" applyFill="1" applyBorder="1"/>
    <xf numFmtId="0" fontId="5" fillId="10" borderId="2" xfId="0" applyFont="1" applyFill="1" applyBorder="1"/>
    <xf numFmtId="0" fontId="0" fillId="9" borderId="0" xfId="0" applyFill="1" applyBorder="1"/>
    <xf numFmtId="165" fontId="0" fillId="9" borderId="0" xfId="1" applyNumberFormat="1" applyFont="1" applyFill="1" applyBorder="1"/>
    <xf numFmtId="2" fontId="4" fillId="0" borderId="0" xfId="0" applyNumberFormat="1" applyFont="1" applyBorder="1"/>
    <xf numFmtId="168" fontId="4" fillId="0" borderId="0" xfId="0" applyNumberFormat="1" applyFont="1" applyBorder="1"/>
    <xf numFmtId="1" fontId="0" fillId="0" borderId="10" xfId="0" applyNumberFormat="1" applyBorder="1"/>
    <xf numFmtId="9" fontId="4" fillId="0" borderId="5" xfId="1" applyFont="1" applyBorder="1"/>
    <xf numFmtId="164" fontId="0" fillId="0" borderId="2" xfId="0" applyNumberFormat="1" applyBorder="1"/>
    <xf numFmtId="0" fontId="0" fillId="9" borderId="10" xfId="0" applyFill="1" applyBorder="1"/>
    <xf numFmtId="165" fontId="0" fillId="5" borderId="35" xfId="0" applyNumberFormat="1" applyFill="1" applyBorder="1"/>
    <xf numFmtId="165" fontId="0" fillId="5" borderId="36" xfId="0" applyNumberFormat="1" applyFill="1" applyBorder="1"/>
    <xf numFmtId="9" fontId="0" fillId="5" borderId="36" xfId="1" applyFont="1" applyFill="1" applyBorder="1"/>
    <xf numFmtId="0" fontId="0" fillId="5" borderId="36" xfId="0" applyFill="1" applyBorder="1"/>
    <xf numFmtId="164" fontId="0" fillId="5" borderId="37" xfId="0" applyNumberFormat="1" applyFill="1" applyBorder="1"/>
    <xf numFmtId="165" fontId="0" fillId="6" borderId="28" xfId="0" applyNumberFormat="1" applyFill="1" applyBorder="1"/>
    <xf numFmtId="165" fontId="0" fillId="6" borderId="29" xfId="0" applyNumberFormat="1" applyFill="1" applyBorder="1"/>
    <xf numFmtId="165" fontId="0" fillId="5" borderId="0" xfId="0" applyNumberFormat="1" applyFill="1"/>
    <xf numFmtId="9" fontId="4" fillId="0" borderId="0" xfId="1" applyFont="1" applyBorder="1"/>
    <xf numFmtId="165" fontId="4" fillId="0" borderId="36" xfId="0" applyNumberFormat="1" applyFont="1" applyBorder="1"/>
    <xf numFmtId="165" fontId="4" fillId="0" borderId="37" xfId="0" applyNumberFormat="1" applyFont="1" applyBorder="1"/>
    <xf numFmtId="2" fontId="4" fillId="12" borderId="32" xfId="0" applyNumberFormat="1" applyFont="1" applyFill="1" applyBorder="1"/>
    <xf numFmtId="9" fontId="4" fillId="12" borderId="35" xfId="1" applyFont="1" applyFill="1" applyBorder="1"/>
    <xf numFmtId="167" fontId="4" fillId="12" borderId="32" xfId="0" applyNumberFormat="1" applyFont="1" applyFill="1" applyBorder="1"/>
    <xf numFmtId="9" fontId="4" fillId="12" borderId="35" xfId="1" applyNumberFormat="1" applyFont="1" applyFill="1" applyBorder="1"/>
    <xf numFmtId="0" fontId="0" fillId="12" borderId="28" xfId="0" applyFill="1" applyBorder="1"/>
    <xf numFmtId="165" fontId="0" fillId="12" borderId="29" xfId="0" applyNumberFormat="1" applyFill="1" applyBorder="1"/>
    <xf numFmtId="0" fontId="3" fillId="11" borderId="4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165" fontId="0" fillId="0" borderId="4" xfId="0" applyNumberFormat="1" applyBorder="1"/>
    <xf numFmtId="165" fontId="0" fillId="8" borderId="4" xfId="0" applyNumberFormat="1" applyFill="1" applyBorder="1"/>
    <xf numFmtId="165" fontId="0" fillId="13" borderId="4" xfId="0" applyNumberFormat="1" applyFill="1" applyBorder="1"/>
    <xf numFmtId="165" fontId="0" fillId="13" borderId="0" xfId="0" applyNumberFormat="1" applyFill="1" applyBorder="1"/>
    <xf numFmtId="0" fontId="0" fillId="13" borderId="0" xfId="0" applyFill="1" applyBorder="1"/>
    <xf numFmtId="165" fontId="0" fillId="13" borderId="9" xfId="0" applyNumberFormat="1" applyFill="1" applyBorder="1"/>
    <xf numFmtId="165" fontId="0" fillId="13" borderId="10" xfId="0" applyNumberForma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0" fillId="0" borderId="36" xfId="0" applyBorder="1"/>
    <xf numFmtId="0" fontId="0" fillId="8" borderId="36" xfId="0" applyFill="1" applyBorder="1"/>
    <xf numFmtId="165" fontId="0" fillId="0" borderId="36" xfId="0" applyNumberFormat="1" applyFill="1" applyBorder="1"/>
    <xf numFmtId="165" fontId="0" fillId="9" borderId="36" xfId="0" applyNumberFormat="1" applyFill="1" applyBorder="1"/>
    <xf numFmtId="165" fontId="0" fillId="9" borderId="37" xfId="0" applyNumberFormat="1" applyFill="1" applyBorder="1"/>
    <xf numFmtId="165" fontId="0" fillId="9" borderId="11" xfId="0" applyNumberFormat="1" applyFill="1" applyBorder="1"/>
    <xf numFmtId="0" fontId="0" fillId="14" borderId="0" xfId="0" applyFill="1"/>
    <xf numFmtId="164" fontId="0" fillId="14" borderId="0" xfId="0" applyNumberFormat="1" applyFill="1" applyBorder="1"/>
    <xf numFmtId="164" fontId="0" fillId="0" borderId="0" xfId="0" applyNumberFormat="1" applyFill="1" applyBorder="1"/>
    <xf numFmtId="0" fontId="0" fillId="9" borderId="0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2" fontId="0" fillId="0" borderId="5" xfId="1" applyNumberFormat="1" applyFont="1" applyBorder="1"/>
    <xf numFmtId="2" fontId="0" fillId="0" borderId="10" xfId="0" applyNumberFormat="1" applyBorder="1"/>
    <xf numFmtId="2" fontId="0" fillId="0" borderId="11" xfId="1" applyNumberFormat="1" applyFont="1" applyBorder="1"/>
    <xf numFmtId="2" fontId="0" fillId="0" borderId="0" xfId="1" applyNumberFormat="1" applyFont="1" applyBorder="1"/>
    <xf numFmtId="2" fontId="0" fillId="0" borderId="10" xfId="1" applyNumberFormat="1" applyFont="1" applyBorder="1"/>
    <xf numFmtId="166" fontId="0" fillId="0" borderId="0" xfId="0" applyNumberFormat="1" applyFill="1"/>
    <xf numFmtId="0" fontId="0" fillId="5" borderId="9" xfId="0" applyFill="1" applyBorder="1"/>
    <xf numFmtId="0" fontId="0" fillId="5" borderId="10" xfId="0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0" fillId="0" borderId="0" xfId="0" applyNumberFormat="1" applyBorder="1"/>
    <xf numFmtId="0" fontId="0" fillId="9" borderId="4" xfId="0" applyFill="1" applyBorder="1"/>
    <xf numFmtId="0" fontId="0" fillId="9" borderId="5" xfId="0" applyFill="1" applyBorder="1"/>
    <xf numFmtId="165" fontId="0" fillId="3" borderId="0" xfId="0" applyNumberFormat="1" applyFill="1" applyBorder="1"/>
    <xf numFmtId="165" fontId="0" fillId="3" borderId="5" xfId="0" applyNumberFormat="1" applyFill="1" applyBorder="1"/>
    <xf numFmtId="165" fontId="0" fillId="5" borderId="5" xfId="0" applyNumberFormat="1" applyFill="1" applyBorder="1"/>
    <xf numFmtId="167" fontId="0" fillId="0" borderId="5" xfId="0" applyNumberFormat="1" applyBorder="1"/>
    <xf numFmtId="0" fontId="3" fillId="0" borderId="0" xfId="0" applyFont="1" applyFill="1"/>
    <xf numFmtId="166" fontId="2" fillId="2" borderId="2" xfId="0" applyNumberFormat="1" applyFont="1" applyFill="1" applyBorder="1"/>
    <xf numFmtId="166" fontId="2" fillId="2" borderId="3" xfId="0" applyNumberFormat="1" applyFont="1" applyFill="1" applyBorder="1"/>
    <xf numFmtId="164" fontId="0" fillId="0" borderId="5" xfId="0" applyNumberFormat="1" applyBorder="1"/>
    <xf numFmtId="164" fontId="0" fillId="9" borderId="0" xfId="0" applyNumberFormat="1" applyFill="1" applyBorder="1"/>
    <xf numFmtId="164" fontId="0" fillId="9" borderId="5" xfId="0" applyNumberFormat="1" applyFill="1" applyBorder="1"/>
    <xf numFmtId="164" fontId="0" fillId="9" borderId="10" xfId="0" applyNumberFormat="1" applyFill="1" applyBorder="1"/>
    <xf numFmtId="164" fontId="0" fillId="9" borderId="11" xfId="0" applyNumberFormat="1" applyFill="1" applyBorder="1"/>
    <xf numFmtId="0" fontId="0" fillId="0" borderId="6" xfId="0" applyFill="1" applyBorder="1"/>
    <xf numFmtId="164" fontId="0" fillId="0" borderId="7" xfId="0" applyNumberFormat="1" applyBorder="1"/>
    <xf numFmtId="164" fontId="0" fillId="0" borderId="8" xfId="0" applyNumberFormat="1" applyBorder="1"/>
    <xf numFmtId="0" fontId="0" fillId="8" borderId="39" xfId="0" applyFill="1" applyBorder="1"/>
    <xf numFmtId="0" fontId="0" fillId="8" borderId="40" xfId="0" applyFill="1" applyBorder="1"/>
    <xf numFmtId="165" fontId="0" fillId="0" borderId="39" xfId="0" applyNumberFormat="1" applyFill="1" applyBorder="1"/>
    <xf numFmtId="165" fontId="0" fillId="0" borderId="40" xfId="0" applyNumberFormat="1" applyFill="1" applyBorder="1"/>
    <xf numFmtId="165" fontId="0" fillId="0" borderId="41" xfId="0" applyNumberFormat="1" applyFill="1" applyBorder="1"/>
    <xf numFmtId="165" fontId="0" fillId="0" borderId="42" xfId="0" applyNumberFormat="1" applyFill="1" applyBorder="1"/>
    <xf numFmtId="165" fontId="0" fillId="9" borderId="39" xfId="0" applyNumberFormat="1" applyFill="1" applyBorder="1"/>
    <xf numFmtId="165" fontId="0" fillId="9" borderId="40" xfId="0" applyNumberFormat="1" applyFill="1" applyBorder="1"/>
    <xf numFmtId="0" fontId="2" fillId="2" borderId="43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165" fontId="0" fillId="9" borderId="45" xfId="0" applyNumberFormat="1" applyFill="1" applyBorder="1"/>
    <xf numFmtId="165" fontId="0" fillId="9" borderId="46" xfId="0" applyNumberFormat="1" applyFill="1" applyBorder="1"/>
    <xf numFmtId="2" fontId="0" fillId="0" borderId="2" xfId="1" applyNumberFormat="1" applyFont="1" applyFill="1" applyBorder="1"/>
    <xf numFmtId="2" fontId="0" fillId="0" borderId="3" xfId="1" applyNumberFormat="1" applyFont="1" applyFill="1" applyBorder="1"/>
    <xf numFmtId="2" fontId="0" fillId="0" borderId="0" xfId="1" applyNumberFormat="1" applyFont="1" applyFill="1" applyBorder="1"/>
    <xf numFmtId="2" fontId="0" fillId="0" borderId="5" xfId="1" applyNumberFormat="1" applyFont="1" applyFill="1" applyBorder="1"/>
    <xf numFmtId="0" fontId="0" fillId="0" borderId="7" xfId="0" applyFill="1" applyBorder="1"/>
    <xf numFmtId="2" fontId="0" fillId="0" borderId="7" xfId="1" applyNumberFormat="1" applyFont="1" applyFill="1" applyBorder="1"/>
    <xf numFmtId="2" fontId="0" fillId="0" borderId="8" xfId="1" applyNumberFormat="1" applyFont="1" applyFill="1" applyBorder="1"/>
    <xf numFmtId="0" fontId="2" fillId="2" borderId="35" xfId="0" applyFont="1" applyFill="1" applyBorder="1" applyAlignment="1">
      <alignment horizontal="center" vertical="center"/>
    </xf>
    <xf numFmtId="0" fontId="0" fillId="9" borderId="36" xfId="0" applyFill="1" applyBorder="1"/>
    <xf numFmtId="9" fontId="0" fillId="3" borderId="36" xfId="1" applyFont="1" applyFill="1" applyBorder="1"/>
    <xf numFmtId="0" fontId="0" fillId="9" borderId="37" xfId="0" applyFill="1" applyBorder="1"/>
    <xf numFmtId="9" fontId="0" fillId="3" borderId="38" xfId="1" applyFont="1" applyFill="1" applyBorder="1"/>
    <xf numFmtId="0" fontId="0" fillId="15" borderId="1" xfId="0" applyFill="1" applyBorder="1"/>
    <xf numFmtId="0" fontId="0" fillId="15" borderId="2" xfId="0" applyFill="1" applyBorder="1"/>
    <xf numFmtId="0" fontId="0" fillId="15" borderId="3" xfId="0" applyFill="1" applyBorder="1"/>
    <xf numFmtId="2" fontId="0" fillId="5" borderId="11" xfId="0" applyNumberFormat="1" applyFill="1" applyBorder="1"/>
    <xf numFmtId="0" fontId="0" fillId="0" borderId="0" xfId="0" applyAlignment="1">
      <alignment wrapText="1"/>
    </xf>
    <xf numFmtId="0" fontId="3" fillId="4" borderId="4" xfId="0" applyFont="1" applyFill="1" applyBorder="1" applyAlignment="1">
      <alignment horizontal="center" vertical="top"/>
    </xf>
    <xf numFmtId="0" fontId="3" fillId="4" borderId="5" xfId="0" applyFont="1" applyFill="1" applyBorder="1" applyAlignment="1">
      <alignment horizontal="center" vertical="top"/>
    </xf>
    <xf numFmtId="0" fontId="3" fillId="4" borderId="0" xfId="0" applyFont="1" applyFill="1" applyBorder="1" applyAlignment="1">
      <alignment horizontal="center" vertical="top"/>
    </xf>
    <xf numFmtId="0" fontId="0" fillId="4" borderId="5" xfId="0" applyFill="1" applyBorder="1"/>
    <xf numFmtId="165" fontId="0" fillId="4" borderId="4" xfId="0" applyNumberFormat="1" applyFill="1" applyBorder="1"/>
    <xf numFmtId="165" fontId="0" fillId="4" borderId="4" xfId="1" applyNumberFormat="1" applyFont="1" applyFill="1" applyBorder="1"/>
    <xf numFmtId="165" fontId="0" fillId="4" borderId="0" xfId="1" applyNumberFormat="1" applyFont="1" applyFill="1" applyBorder="1"/>
    <xf numFmtId="165" fontId="0" fillId="4" borderId="5" xfId="1" applyNumberFormat="1" applyFont="1" applyFill="1" applyBorder="1"/>
    <xf numFmtId="165" fontId="0" fillId="4" borderId="9" xfId="0" applyNumberFormat="1" applyFill="1" applyBorder="1"/>
    <xf numFmtId="165" fontId="0" fillId="4" borderId="10" xfId="0" applyNumberFormat="1" applyFill="1" applyBorder="1"/>
    <xf numFmtId="165" fontId="0" fillId="4" borderId="11" xfId="0" applyNumberForma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0" borderId="5" xfId="1" applyNumberFormat="1" applyFont="1" applyBorder="1"/>
    <xf numFmtId="164" fontId="0" fillId="9" borderId="5" xfId="1" applyNumberFormat="1" applyFon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164" fontId="0" fillId="4" borderId="10" xfId="0" applyNumberFormat="1" applyFill="1" applyBorder="1"/>
    <xf numFmtId="0" fontId="3" fillId="4" borderId="0" xfId="0" applyFont="1" applyFill="1" applyBorder="1"/>
    <xf numFmtId="9" fontId="0" fillId="4" borderId="0" xfId="1" applyFont="1" applyFill="1" applyBorder="1"/>
    <xf numFmtId="9" fontId="0" fillId="4" borderId="0" xfId="0" applyNumberFormat="1" applyFill="1" applyBorder="1"/>
    <xf numFmtId="9" fontId="0" fillId="4" borderId="5" xfId="0" applyNumberFormat="1" applyFill="1" applyBorder="1"/>
    <xf numFmtId="9" fontId="0" fillId="4" borderId="4" xfId="0" applyNumberFormat="1" applyFill="1" applyBorder="1"/>
    <xf numFmtId="2" fontId="0" fillId="4" borderId="0" xfId="0" applyNumberFormat="1" applyFill="1" applyBorder="1"/>
    <xf numFmtId="2" fontId="0" fillId="4" borderId="5" xfId="0" applyNumberFormat="1" applyFill="1" applyBorder="1"/>
    <xf numFmtId="2" fontId="0" fillId="4" borderId="4" xfId="0" applyNumberFormat="1" applyFill="1" applyBorder="1"/>
    <xf numFmtId="164" fontId="0" fillId="0" borderId="0" xfId="1" applyNumberFormat="1" applyFont="1"/>
    <xf numFmtId="0" fontId="0" fillId="9" borderId="9" xfId="0" applyFill="1" applyBorder="1"/>
    <xf numFmtId="0" fontId="0" fillId="9" borderId="11" xfId="0" applyFill="1" applyBorder="1"/>
    <xf numFmtId="0" fontId="14" fillId="0" borderId="30" xfId="6" applyAlignment="1">
      <alignment horizontal="left"/>
    </xf>
    <xf numFmtId="166" fontId="0" fillId="0" borderId="0" xfId="0" applyNumberFormat="1" applyBorder="1" applyAlignment="1">
      <alignment horizontal="left" vertical="center"/>
    </xf>
    <xf numFmtId="166" fontId="0" fillId="0" borderId="5" xfId="0" applyNumberFormat="1" applyBorder="1" applyAlignment="1">
      <alignment horizontal="left" vertical="center"/>
    </xf>
    <xf numFmtId="165" fontId="0" fillId="0" borderId="0" xfId="0" applyNumberFormat="1" applyBorder="1" applyAlignment="1">
      <alignment horizontal="left" vertical="center" wrapText="1"/>
    </xf>
    <xf numFmtId="165" fontId="0" fillId="0" borderId="5" xfId="0" applyNumberFormat="1" applyBorder="1" applyAlignment="1">
      <alignment horizontal="left" vertical="center" wrapText="1"/>
    </xf>
    <xf numFmtId="6" fontId="3" fillId="2" borderId="1" xfId="0" applyNumberFormat="1" applyFont="1" applyFill="1" applyBorder="1" applyAlignment="1">
      <alignment horizontal="center" vertical="top"/>
    </xf>
    <xf numFmtId="6" fontId="3" fillId="2" borderId="3" xfId="0" applyNumberFormat="1" applyFont="1" applyFill="1" applyBorder="1" applyAlignment="1">
      <alignment horizontal="center" vertical="top"/>
    </xf>
    <xf numFmtId="6" fontId="3" fillId="2" borderId="2" xfId="0" applyNumberFormat="1" applyFont="1" applyFill="1" applyBorder="1" applyAlignment="1">
      <alignment horizontal="center" vertical="top" wrapText="1"/>
    </xf>
    <xf numFmtId="6" fontId="3" fillId="2" borderId="3" xfId="0" applyNumberFormat="1" applyFont="1" applyFill="1" applyBorder="1" applyAlignment="1">
      <alignment horizontal="center" vertical="top" wrapText="1"/>
    </xf>
    <xf numFmtId="0" fontId="2" fillId="11" borderId="1" xfId="0" applyFont="1" applyFill="1" applyBorder="1" applyAlignment="1">
      <alignment horizontal="center"/>
    </xf>
    <xf numFmtId="0" fontId="2" fillId="11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6" fontId="3" fillId="2" borderId="1" xfId="0" applyNumberFormat="1" applyFont="1" applyFill="1" applyBorder="1" applyAlignment="1">
      <alignment horizontal="center" vertical="center"/>
    </xf>
    <xf numFmtId="6" fontId="3" fillId="2" borderId="3" xfId="0" applyNumberFormat="1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6" fontId="3" fillId="2" borderId="2" xfId="0" applyNumberFormat="1" applyFont="1" applyFill="1" applyBorder="1" applyAlignment="1">
      <alignment horizontal="center" vertical="top"/>
    </xf>
    <xf numFmtId="165" fontId="4" fillId="3" borderId="47" xfId="0" applyNumberFormat="1" applyFont="1" applyFill="1" applyBorder="1"/>
    <xf numFmtId="165" fontId="4" fillId="3" borderId="48" xfId="0" applyNumberFormat="1" applyFont="1" applyFill="1" applyBorder="1" applyAlignment="1">
      <alignment horizontal="right"/>
    </xf>
    <xf numFmtId="0" fontId="0" fillId="16" borderId="0" xfId="0" applyFill="1"/>
    <xf numFmtId="2" fontId="4" fillId="16" borderId="32" xfId="0" applyNumberFormat="1" applyFont="1" applyFill="1" applyBorder="1" applyAlignment="1">
      <alignment horizontal="right"/>
    </xf>
    <xf numFmtId="2" fontId="4" fillId="16" borderId="16" xfId="0" applyNumberFormat="1" applyFont="1" applyFill="1" applyBorder="1" applyAlignment="1">
      <alignment horizontal="right"/>
    </xf>
  </cellXfs>
  <cellStyles count="7">
    <cellStyle name="Currency 2" xfId="4" xr:uid="{00000000-0005-0000-0000-000001000000}"/>
    <cellStyle name="Heading 1" xfId="6" builtinId="16"/>
    <cellStyle name="Normal" xfId="0" builtinId="0"/>
    <cellStyle name="Normal 2" xfId="2" xr:uid="{00000000-0005-0000-0000-000005000000}"/>
    <cellStyle name="Percent" xfId="1" builtinId="5"/>
    <cellStyle name="Percent 2" xfId="3" xr:uid="{00000000-0005-0000-0000-000007000000}"/>
    <cellStyle name="Title" xfId="5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 formatCode="&quot;$&quot;#,##0.00">
                  <c:v>536799.75189325633</c:v>
                </c:pt>
                <c:pt idx="6" formatCode="&quot;$&quot;#,##0.00">
                  <c:v>2229796.2495492245</c:v>
                </c:pt>
                <c:pt idx="7" formatCode="&quot;$&quot;#,##0.00">
                  <c:v>2863174.9008294265</c:v>
                </c:pt>
                <c:pt idx="9" formatCode="&quot;$&quot;#,##0.00">
                  <c:v>3707408.0057699247</c:v>
                </c:pt>
                <c:pt idx="10" formatCode="&quot;$&quot;#,##0.00">
                  <c:v>4049144.7241254966</c:v>
                </c:pt>
                <c:pt idx="11" formatCode="&quot;$&quot;#,##0.00">
                  <c:v>593936.18806469161</c:v>
                </c:pt>
                <c:pt idx="13" formatCode="&quot;$&quot;#,##0.00">
                  <c:v>2749193.2277941452</c:v>
                </c:pt>
                <c:pt idx="14" formatCode="&quot;$&quot;#,##0.00">
                  <c:v>1987231.1575910565</c:v>
                </c:pt>
                <c:pt idx="15" formatCode="&quot;$&quot;#,##0.00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 formatCode="&quot;$&quot;#,##0.00">
                  <c:v>423563.56292823656</c:v>
                </c:pt>
                <c:pt idx="6" formatCode="&quot;$&quot;#,##0.00">
                  <c:v>1707456.7616300036</c:v>
                </c:pt>
                <c:pt idx="7" formatCode="&quot;$&quot;#,##0.00">
                  <c:v>2225407.5730256042</c:v>
                </c:pt>
                <c:pt idx="9" formatCode="&quot;$&quot;#,##0.00">
                  <c:v>3437189.1236927523</c:v>
                </c:pt>
                <c:pt idx="10" formatCode="&quot;$&quot;#,##0.00">
                  <c:v>3433243.2744320235</c:v>
                </c:pt>
                <c:pt idx="11" formatCode="&quot;$&quot;#,##0.00">
                  <c:v>510668.79899653804</c:v>
                </c:pt>
                <c:pt idx="13" formatCode="&quot;$&quot;#,##0.00">
                  <c:v>2417233.0461555184</c:v>
                </c:pt>
                <c:pt idx="14" formatCode="&quot;$&quot;#,##0.00">
                  <c:v>1726716.6967183554</c:v>
                </c:pt>
                <c:pt idx="15" formatCode="&quot;$&quot;#,##0.00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786712"/>
        <c:axId val="606787040"/>
      </c:barChart>
      <c:catAx>
        <c:axId val="60678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7040"/>
        <c:crosses val="autoZero"/>
        <c:auto val="1"/>
        <c:lblAlgn val="ctr"/>
        <c:lblOffset val="100"/>
        <c:noMultiLvlLbl val="0"/>
      </c:catAx>
      <c:valAx>
        <c:axId val="6067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6.864263492262042</c:v>
                </c:pt>
                <c:pt idx="1">
                  <c:v>1.835629728161867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941400"/>
        <c:axId val="500937464"/>
      </c:barChart>
      <c:catAx>
        <c:axId val="500941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37464"/>
        <c:crosses val="autoZero"/>
        <c:auto val="1"/>
        <c:lblAlgn val="ctr"/>
        <c:lblOffset val="100"/>
        <c:noMultiLvlLbl val="0"/>
      </c:catAx>
      <c:valAx>
        <c:axId val="5009374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5009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6.366218003907913</c:v>
                </c:pt>
                <c:pt idx="1">
                  <c:v>15.270592359037529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0925656"/>
        <c:axId val="500925984"/>
      </c:barChart>
      <c:catAx>
        <c:axId val="500925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25984"/>
        <c:crosses val="autoZero"/>
        <c:auto val="1"/>
        <c:lblAlgn val="ctr"/>
        <c:lblOffset val="100"/>
        <c:noMultiLvlLbl val="0"/>
      </c:catAx>
      <c:valAx>
        <c:axId val="50092598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50092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>
                  <c:v>536799.75189325633</c:v>
                </c:pt>
                <c:pt idx="6">
                  <c:v>2229796.2495492245</c:v>
                </c:pt>
                <c:pt idx="7">
                  <c:v>2863174.9008294265</c:v>
                </c:pt>
                <c:pt idx="9">
                  <c:v>3707408.0057699247</c:v>
                </c:pt>
                <c:pt idx="10">
                  <c:v>4049144.7241254966</c:v>
                </c:pt>
                <c:pt idx="11">
                  <c:v>593936.18806469161</c:v>
                </c:pt>
                <c:pt idx="13">
                  <c:v>2749193.2277941452</c:v>
                </c:pt>
                <c:pt idx="14">
                  <c:v>1987231.1575910565</c:v>
                </c:pt>
                <c:pt idx="15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>
                  <c:v>423563.56292823656</c:v>
                </c:pt>
                <c:pt idx="6">
                  <c:v>1707456.7616300036</c:v>
                </c:pt>
                <c:pt idx="7">
                  <c:v>2225407.5730256042</c:v>
                </c:pt>
                <c:pt idx="9">
                  <c:v>3437189.1236927523</c:v>
                </c:pt>
                <c:pt idx="10">
                  <c:v>3433243.2744320235</c:v>
                </c:pt>
                <c:pt idx="11">
                  <c:v>510668.79899653804</c:v>
                </c:pt>
                <c:pt idx="13">
                  <c:v>2417233.0461555184</c:v>
                </c:pt>
                <c:pt idx="14">
                  <c:v>1726716.6967183554</c:v>
                </c:pt>
                <c:pt idx="15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5346600"/>
        <c:axId val="615353160"/>
      </c:barChart>
      <c:catAx>
        <c:axId val="615346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53160"/>
        <c:crosses val="autoZero"/>
        <c:auto val="1"/>
        <c:lblAlgn val="ctr"/>
        <c:lblOffset val="100"/>
        <c:noMultiLvlLbl val="0"/>
      </c:catAx>
      <c:valAx>
        <c:axId val="61535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4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53340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312420</xdr:colOff>
      <xdr:row>53</xdr:row>
      <xdr:rowOff>91440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182880</xdr:colOff>
      <xdr:row>52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472440</xdr:colOff>
      <xdr:row>61</xdr:row>
      <xdr:rowOff>274320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175260</xdr:colOff>
      <xdr:row>76</xdr:row>
      <xdr:rowOff>91440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37319</xdr:colOff>
      <xdr:row>109</xdr:row>
      <xdr:rowOff>6572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480060</xdr:colOff>
      <xdr:row>29</xdr:row>
      <xdr:rowOff>7620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487680</xdr:colOff>
      <xdr:row>56</xdr:row>
      <xdr:rowOff>373380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129540</xdr:colOff>
      <xdr:row>66</xdr:row>
      <xdr:rowOff>259080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15</xdr:col>
      <xdr:colOff>556260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2</xdr:row>
      <xdr:rowOff>156210</xdr:rowOff>
    </xdr:from>
    <xdr:to>
      <xdr:col>25</xdr:col>
      <xdr:colOff>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 spans="1:6" x14ac:dyDescent="0.3">
      <c r="A4">
        <v>1</v>
      </c>
      <c r="B4" t="s">
        <v>18</v>
      </c>
      <c r="F4" s="12" t="s">
        <v>102</v>
      </c>
    </row>
    <row r="5" spans="1:6" x14ac:dyDescent="0.3">
      <c r="C5" t="s">
        <v>26</v>
      </c>
      <c r="F5" t="s">
        <v>103</v>
      </c>
    </row>
    <row r="6" spans="1:6" x14ac:dyDescent="0.3">
      <c r="C6" t="s">
        <v>27</v>
      </c>
      <c r="F6" t="s">
        <v>104</v>
      </c>
    </row>
    <row r="7" spans="1:6" x14ac:dyDescent="0.3">
      <c r="C7" t="s">
        <v>28</v>
      </c>
      <c r="F7" t="s">
        <v>105</v>
      </c>
    </row>
    <row r="8" spans="1:6" x14ac:dyDescent="0.3">
      <c r="C8" t="s">
        <v>29</v>
      </c>
      <c r="F8" t="s">
        <v>106</v>
      </c>
    </row>
    <row r="9" spans="1:6" x14ac:dyDescent="0.3">
      <c r="C9" t="s">
        <v>30</v>
      </c>
    </row>
    <row r="10" spans="1:6" x14ac:dyDescent="0.3">
      <c r="F10" s="12" t="s">
        <v>107</v>
      </c>
    </row>
    <row r="11" spans="1:6" x14ac:dyDescent="0.3">
      <c r="A11">
        <v>2</v>
      </c>
      <c r="B11" t="s">
        <v>0</v>
      </c>
      <c r="F11" t="s">
        <v>108</v>
      </c>
    </row>
    <row r="12" spans="1:6" x14ac:dyDescent="0.3">
      <c r="C12" t="s">
        <v>12</v>
      </c>
      <c r="F12" t="s">
        <v>109</v>
      </c>
    </row>
    <row r="13" spans="1:6" x14ac:dyDescent="0.3">
      <c r="F13" t="s">
        <v>110</v>
      </c>
    </row>
    <row r="14" spans="1:6" x14ac:dyDescent="0.3">
      <c r="F14" t="s">
        <v>111</v>
      </c>
    </row>
    <row r="15" spans="1:6" x14ac:dyDescent="0.3">
      <c r="A15">
        <v>3</v>
      </c>
      <c r="B15" t="s">
        <v>1</v>
      </c>
    </row>
    <row r="16" spans="1:6" x14ac:dyDescent="0.3">
      <c r="C16" t="s">
        <v>13</v>
      </c>
      <c r="F16" s="12" t="s">
        <v>115</v>
      </c>
    </row>
    <row r="17" spans="1:6" x14ac:dyDescent="0.3">
      <c r="C17" t="s">
        <v>14</v>
      </c>
      <c r="F17" s="60" t="s">
        <v>112</v>
      </c>
    </row>
    <row r="18" spans="1:6" x14ac:dyDescent="0.3">
      <c r="F18" s="58" t="s">
        <v>113</v>
      </c>
    </row>
    <row r="19" spans="1:6" x14ac:dyDescent="0.3">
      <c r="A19">
        <v>4</v>
      </c>
      <c r="B19" t="s">
        <v>2</v>
      </c>
      <c r="F19" s="58" t="s">
        <v>114</v>
      </c>
    </row>
    <row r="20" spans="1:6" x14ac:dyDescent="0.3">
      <c r="C20" t="s">
        <v>19</v>
      </c>
      <c r="F20" s="60" t="s">
        <v>116</v>
      </c>
    </row>
    <row r="21" spans="1:6" x14ac:dyDescent="0.3">
      <c r="F21" s="58" t="s">
        <v>117</v>
      </c>
    </row>
    <row r="22" spans="1:6" x14ac:dyDescent="0.3">
      <c r="A22">
        <v>5</v>
      </c>
      <c r="B22" t="s">
        <v>3</v>
      </c>
      <c r="F22" s="58" t="s">
        <v>118</v>
      </c>
    </row>
    <row r="23" spans="1:6" x14ac:dyDescent="0.3">
      <c r="C23" t="s">
        <v>31</v>
      </c>
      <c r="F23" s="58" t="s">
        <v>119</v>
      </c>
    </row>
    <row r="24" spans="1:6" x14ac:dyDescent="0.3">
      <c r="C24" t="s">
        <v>20</v>
      </c>
      <c r="F24" s="60" t="s">
        <v>123</v>
      </c>
    </row>
    <row r="25" spans="1:6" x14ac:dyDescent="0.3">
      <c r="C25" t="s">
        <v>23</v>
      </c>
      <c r="F25" s="58" t="s">
        <v>124</v>
      </c>
    </row>
    <row r="26" spans="1:6" x14ac:dyDescent="0.3">
      <c r="C26" t="s">
        <v>21</v>
      </c>
      <c r="F26" s="58" t="s">
        <v>125</v>
      </c>
    </row>
    <row r="27" spans="1:6" x14ac:dyDescent="0.3">
      <c r="C27" t="s">
        <v>24</v>
      </c>
      <c r="F27" s="61" t="s">
        <v>120</v>
      </c>
    </row>
    <row r="28" spans="1:6" x14ac:dyDescent="0.3">
      <c r="C28" t="s">
        <v>22</v>
      </c>
      <c r="F28" s="58" t="s">
        <v>122</v>
      </c>
    </row>
    <row r="29" spans="1:6" x14ac:dyDescent="0.3">
      <c r="C29" t="s">
        <v>34</v>
      </c>
      <c r="F29" s="59" t="s">
        <v>121</v>
      </c>
    </row>
    <row r="30" spans="1:6" x14ac:dyDescent="0.3">
      <c r="C30" t="s">
        <v>35</v>
      </c>
    </row>
    <row r="31" spans="1:6" x14ac:dyDescent="0.3">
      <c r="C31" t="s">
        <v>25</v>
      </c>
    </row>
    <row r="32" spans="1:6" x14ac:dyDescent="0.3">
      <c r="C32" t="s">
        <v>32</v>
      </c>
    </row>
    <row r="33" spans="1:3" x14ac:dyDescent="0.3">
      <c r="C33" t="s">
        <v>33</v>
      </c>
    </row>
    <row r="35" spans="1:3" x14ac:dyDescent="0.3">
      <c r="A35">
        <v>6</v>
      </c>
      <c r="B35" t="s">
        <v>4</v>
      </c>
    </row>
    <row r="36" spans="1:3" x14ac:dyDescent="0.3">
      <c r="C36" t="s">
        <v>15</v>
      </c>
    </row>
    <row r="37" spans="1:3" x14ac:dyDescent="0.3">
      <c r="C37" t="s">
        <v>36</v>
      </c>
    </row>
    <row r="38" spans="1:3" x14ac:dyDescent="0.3">
      <c r="C38" t="s">
        <v>37</v>
      </c>
    </row>
    <row r="39" spans="1:3" x14ac:dyDescent="0.3">
      <c r="C39" t="s">
        <v>38</v>
      </c>
    </row>
    <row r="41" spans="1:3" x14ac:dyDescent="0.3">
      <c r="A41">
        <v>7</v>
      </c>
      <c r="B41" t="s">
        <v>5</v>
      </c>
    </row>
    <row r="42" spans="1:3" x14ac:dyDescent="0.3">
      <c r="C42" t="s">
        <v>39</v>
      </c>
    </row>
    <row r="43" spans="1:3" x14ac:dyDescent="0.3">
      <c r="C43" t="s">
        <v>40</v>
      </c>
    </row>
    <row r="44" spans="1:3" x14ac:dyDescent="0.3">
      <c r="C44" t="s">
        <v>41</v>
      </c>
    </row>
    <row r="45" spans="1:3" x14ac:dyDescent="0.3">
      <c r="C45" t="s">
        <v>42</v>
      </c>
    </row>
    <row r="47" spans="1:3" x14ac:dyDescent="0.3">
      <c r="A47">
        <v>8</v>
      </c>
      <c r="B47" t="s">
        <v>16</v>
      </c>
    </row>
    <row r="48" spans="1:3" x14ac:dyDescent="0.3">
      <c r="C48" t="s">
        <v>43</v>
      </c>
    </row>
    <row r="49" spans="1:6" x14ac:dyDescent="0.3">
      <c r="C49" t="s">
        <v>44</v>
      </c>
    </row>
    <row r="50" spans="1:6" x14ac:dyDescent="0.3">
      <c r="C50" t="s">
        <v>46</v>
      </c>
    </row>
    <row r="51" spans="1:6" x14ac:dyDescent="0.3">
      <c r="C51" t="s">
        <v>45</v>
      </c>
    </row>
    <row r="53" spans="1:6" x14ac:dyDescent="0.3">
      <c r="A53">
        <v>9</v>
      </c>
      <c r="B53" t="s">
        <v>17</v>
      </c>
    </row>
    <row r="54" spans="1:6" ht="15" thickBot="1" x14ac:dyDescent="0.35">
      <c r="C54" t="s">
        <v>47</v>
      </c>
    </row>
    <row r="55" spans="1:6" ht="34.799999999999997" x14ac:dyDescent="0.3">
      <c r="C55" t="s">
        <v>48</v>
      </c>
      <c r="F55" s="62" t="s">
        <v>126</v>
      </c>
    </row>
    <row r="56" spans="1:6" ht="52.2" x14ac:dyDescent="0.3">
      <c r="F56" s="63" t="s">
        <v>127</v>
      </c>
    </row>
    <row r="57" spans="1:6" ht="52.2" x14ac:dyDescent="0.3">
      <c r="F57" s="63" t="s">
        <v>128</v>
      </c>
    </row>
    <row r="58" spans="1:6" ht="52.2" x14ac:dyDescent="0.3">
      <c r="A58">
        <v>10</v>
      </c>
      <c r="B58" t="s">
        <v>6</v>
      </c>
      <c r="F58" s="63" t="s">
        <v>129</v>
      </c>
    </row>
    <row r="59" spans="1:6" ht="35.4" thickBot="1" x14ac:dyDescent="0.35">
      <c r="F59" s="64" t="s">
        <v>130</v>
      </c>
    </row>
    <row r="60" spans="1:6" ht="52.8" thickTop="1" x14ac:dyDescent="0.3">
      <c r="A60">
        <v>11</v>
      </c>
      <c r="B60" t="s">
        <v>10</v>
      </c>
      <c r="F60" s="65" t="s">
        <v>131</v>
      </c>
    </row>
    <row r="61" spans="1:6" ht="69.599999999999994" x14ac:dyDescent="0.3">
      <c r="F61" s="63" t="s">
        <v>132</v>
      </c>
    </row>
    <row r="62" spans="1:6" ht="34.799999999999997" x14ac:dyDescent="0.3">
      <c r="A62">
        <v>12</v>
      </c>
      <c r="B62" t="s">
        <v>7</v>
      </c>
      <c r="F62" s="63" t="s">
        <v>133</v>
      </c>
    </row>
    <row r="63" spans="1:6" ht="18" thickBot="1" x14ac:dyDescent="0.35">
      <c r="F63" s="66" t="s">
        <v>134</v>
      </c>
    </row>
    <row r="64" spans="1:6" ht="69.599999999999994" x14ac:dyDescent="0.3">
      <c r="A64">
        <v>13</v>
      </c>
      <c r="B64" t="s">
        <v>8</v>
      </c>
      <c r="F64" s="62" t="s">
        <v>135</v>
      </c>
    </row>
    <row r="65" spans="1:6" ht="69.599999999999994" x14ac:dyDescent="0.3">
      <c r="F65" s="63" t="s">
        <v>136</v>
      </c>
    </row>
    <row r="66" spans="1:6" ht="52.2" x14ac:dyDescent="0.3">
      <c r="A66">
        <v>14</v>
      </c>
      <c r="B66" t="s">
        <v>9</v>
      </c>
      <c r="F66" s="63" t="s">
        <v>137</v>
      </c>
    </row>
    <row r="67" spans="1:6" ht="35.4" thickBot="1" x14ac:dyDescent="0.35">
      <c r="F67" s="66" t="s">
        <v>138</v>
      </c>
    </row>
    <row r="68" spans="1:6" ht="35.4" thickBot="1" x14ac:dyDescent="0.35">
      <c r="A68">
        <v>15</v>
      </c>
      <c r="B68" t="s">
        <v>11</v>
      </c>
      <c r="F68" s="67" t="s">
        <v>139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A54D5-DDE6-43DE-8AFD-D2EB15B4E800}">
  <sheetPr codeName="Sheet4">
    <tabColor theme="7" tint="0.59999389629810485"/>
  </sheetPr>
  <dimension ref="B3:AS25"/>
  <sheetViews>
    <sheetView workbookViewId="0">
      <selection activeCell="J5" sqref="J5"/>
    </sheetView>
  </sheetViews>
  <sheetFormatPr defaultRowHeight="14.4" x14ac:dyDescent="0.3"/>
  <cols>
    <col min="2" max="2" width="11.21875" style="254" customWidth="1"/>
    <col min="3" max="3" width="12.109375" customWidth="1"/>
    <col min="4" max="4" width="11.88671875" customWidth="1"/>
    <col min="5" max="5" width="11.21875" customWidth="1"/>
    <col min="6" max="7" width="11.6640625" customWidth="1"/>
    <col min="8" max="8" width="12.109375" customWidth="1"/>
    <col min="9" max="9" width="12.88671875" customWidth="1"/>
    <col min="10" max="10" width="11.6640625" customWidth="1"/>
    <col min="11" max="11" width="9.88671875" customWidth="1"/>
  </cols>
  <sheetData>
    <row r="3" spans="2:45" ht="28.8" x14ac:dyDescent="0.3">
      <c r="B3" s="254" t="s">
        <v>141</v>
      </c>
      <c r="C3" t="s">
        <v>82</v>
      </c>
      <c r="D3" t="s">
        <v>83</v>
      </c>
      <c r="E3" t="s">
        <v>91</v>
      </c>
      <c r="F3" t="s">
        <v>218</v>
      </c>
      <c r="G3" t="s">
        <v>219</v>
      </c>
      <c r="H3" t="s">
        <v>220</v>
      </c>
      <c r="I3" t="s">
        <v>221</v>
      </c>
      <c r="J3" t="s">
        <v>227</v>
      </c>
      <c r="K3" t="s">
        <v>226</v>
      </c>
      <c r="L3" t="s">
        <v>222</v>
      </c>
      <c r="M3" t="s">
        <v>225</v>
      </c>
      <c r="N3" t="s">
        <v>224</v>
      </c>
      <c r="O3" t="s">
        <v>223</v>
      </c>
      <c r="P3" t="s">
        <v>228</v>
      </c>
      <c r="Q3" t="s">
        <v>229</v>
      </c>
      <c r="R3" t="s">
        <v>230</v>
      </c>
      <c r="S3" t="s">
        <v>231</v>
      </c>
      <c r="T3" t="s">
        <v>232</v>
      </c>
      <c r="U3" t="s">
        <v>233</v>
      </c>
      <c r="V3" t="s">
        <v>234</v>
      </c>
      <c r="W3" t="s">
        <v>235</v>
      </c>
      <c r="X3" t="s">
        <v>236</v>
      </c>
      <c r="Y3" t="s">
        <v>237</v>
      </c>
      <c r="Z3" t="s">
        <v>238</v>
      </c>
      <c r="AA3" t="s">
        <v>239</v>
      </c>
      <c r="AB3" t="s">
        <v>240</v>
      </c>
      <c r="AC3" t="s">
        <v>241</v>
      </c>
      <c r="AD3" t="s">
        <v>242</v>
      </c>
      <c r="AE3" t="s">
        <v>243</v>
      </c>
      <c r="AF3" t="s">
        <v>244</v>
      </c>
      <c r="AG3" t="s">
        <v>245</v>
      </c>
      <c r="AH3" t="s">
        <v>246</v>
      </c>
      <c r="AI3" t="s">
        <v>247</v>
      </c>
      <c r="AJ3" t="s">
        <v>248</v>
      </c>
      <c r="AK3" t="s">
        <v>249</v>
      </c>
      <c r="AL3" t="s">
        <v>250</v>
      </c>
      <c r="AM3" t="s">
        <v>251</v>
      </c>
      <c r="AN3" t="s">
        <v>252</v>
      </c>
      <c r="AO3" t="s">
        <v>253</v>
      </c>
      <c r="AP3" t="s">
        <v>254</v>
      </c>
      <c r="AQ3" t="s">
        <v>255</v>
      </c>
      <c r="AR3" t="s">
        <v>256</v>
      </c>
      <c r="AS3" t="s">
        <v>257</v>
      </c>
    </row>
    <row r="8" spans="2:45" x14ac:dyDescent="0.3">
      <c r="AH8" s="23"/>
    </row>
    <row r="9" spans="2:45" x14ac:dyDescent="0.3">
      <c r="AH9" s="23"/>
    </row>
    <row r="10" spans="2:45" x14ac:dyDescent="0.3">
      <c r="AH10" s="23"/>
    </row>
    <row r="11" spans="2:45" x14ac:dyDescent="0.3">
      <c r="D11" s="23"/>
      <c r="U11" s="23"/>
      <c r="AH11" s="23"/>
    </row>
    <row r="12" spans="2:45" x14ac:dyDescent="0.3">
      <c r="D12" s="23"/>
      <c r="U12" s="23"/>
      <c r="AH12" s="23"/>
    </row>
    <row r="13" spans="2:45" x14ac:dyDescent="0.3">
      <c r="D13" s="23"/>
      <c r="U13" s="23"/>
      <c r="AH13" s="23"/>
    </row>
    <row r="14" spans="2:45" x14ac:dyDescent="0.3">
      <c r="D14" s="23"/>
      <c r="U14" s="23"/>
      <c r="AH14" s="23"/>
    </row>
    <row r="15" spans="2:45" x14ac:dyDescent="0.3">
      <c r="D15" s="23"/>
      <c r="U15" s="23"/>
      <c r="AH15" s="23"/>
    </row>
    <row r="16" spans="2:45" x14ac:dyDescent="0.3">
      <c r="D16" s="23"/>
      <c r="U16" s="23"/>
      <c r="AH16" s="23"/>
    </row>
    <row r="17" spans="4:34" x14ac:dyDescent="0.3">
      <c r="D17" s="23"/>
      <c r="U17" s="23"/>
      <c r="AH17" s="23"/>
    </row>
    <row r="18" spans="4:34" x14ac:dyDescent="0.3">
      <c r="D18" s="23"/>
      <c r="U18" s="23"/>
      <c r="AH18" s="23"/>
    </row>
    <row r="19" spans="4:34" x14ac:dyDescent="0.3">
      <c r="D19" s="23"/>
      <c r="U19" s="23"/>
      <c r="AH19" s="43"/>
    </row>
    <row r="20" spans="4:34" x14ac:dyDescent="0.3">
      <c r="D20" s="23"/>
      <c r="U20" s="23"/>
      <c r="AH20" s="23"/>
    </row>
    <row r="21" spans="4:34" x14ac:dyDescent="0.3">
      <c r="D21" s="23"/>
      <c r="U21" s="23"/>
      <c r="AH21" s="23"/>
    </row>
    <row r="22" spans="4:34" x14ac:dyDescent="0.3">
      <c r="D22" s="43"/>
      <c r="U22" s="43"/>
      <c r="AH22" s="1"/>
    </row>
    <row r="23" spans="4:34" x14ac:dyDescent="0.3">
      <c r="D23" s="23"/>
      <c r="U23" s="23"/>
    </row>
    <row r="24" spans="4:34" x14ac:dyDescent="0.3">
      <c r="D24" s="23"/>
      <c r="U24" s="23"/>
    </row>
    <row r="25" spans="4:34" x14ac:dyDescent="0.3">
      <c r="D25" s="1"/>
      <c r="U2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F29"/>
  <sheetViews>
    <sheetView zoomScale="99" zoomScaleNormal="99" workbookViewId="0">
      <selection activeCell="B40" sqref="B40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 spans="2:6" x14ac:dyDescent="0.3">
      <c r="B5" s="55" t="s">
        <v>82</v>
      </c>
      <c r="C5" s="55" t="s">
        <v>88</v>
      </c>
      <c r="D5" s="55" t="s">
        <v>89</v>
      </c>
    </row>
    <row r="6" spans="2:6" x14ac:dyDescent="0.3">
      <c r="B6" t="s">
        <v>78</v>
      </c>
      <c r="C6" t="s">
        <v>84</v>
      </c>
      <c r="D6" t="s">
        <v>170</v>
      </c>
    </row>
    <row r="7" spans="2:6" x14ac:dyDescent="0.3">
      <c r="B7" t="s">
        <v>85</v>
      </c>
      <c r="C7" t="s">
        <v>172</v>
      </c>
      <c r="D7" t="s">
        <v>171</v>
      </c>
    </row>
    <row r="8" spans="2:6" x14ac:dyDescent="0.3">
      <c r="B8" t="s">
        <v>81</v>
      </c>
      <c r="C8" t="s">
        <v>86</v>
      </c>
      <c r="D8" t="s">
        <v>168</v>
      </c>
    </row>
    <row r="9" spans="2:6" x14ac:dyDescent="0.3">
      <c r="B9" t="s">
        <v>80</v>
      </c>
      <c r="C9" t="s">
        <v>87</v>
      </c>
      <c r="D9" t="s">
        <v>169</v>
      </c>
    </row>
    <row r="12" spans="2:6" x14ac:dyDescent="0.3">
      <c r="F12">
        <f>4*2*3*12</f>
        <v>288</v>
      </c>
    </row>
    <row r="13" spans="2:6" x14ac:dyDescent="0.3">
      <c r="C13" t="str">
        <f>VLOOKUP(Input!F10,Dropdowns!B6:D9,2,0)</f>
        <v>Improve Claims Optimization</v>
      </c>
    </row>
    <row r="14" spans="2:6" x14ac:dyDescent="0.3">
      <c r="C14" t="str">
        <f>VLOOKUP(Input!F10,Dropdowns!B6:D9,3,0)</f>
        <v>Improve care and reduce cost</v>
      </c>
    </row>
    <row r="17" spans="2:4" x14ac:dyDescent="0.3">
      <c r="B17" s="55" t="s">
        <v>141</v>
      </c>
    </row>
    <row r="18" spans="2:4" x14ac:dyDescent="0.3">
      <c r="B18" t="s">
        <v>156</v>
      </c>
      <c r="D18" s="56"/>
    </row>
    <row r="19" spans="2:4" x14ac:dyDescent="0.3">
      <c r="B19" t="s">
        <v>157</v>
      </c>
      <c r="D19" s="56"/>
    </row>
    <row r="20" spans="2:4" x14ac:dyDescent="0.3">
      <c r="B20" t="s">
        <v>155</v>
      </c>
      <c r="D20" s="56"/>
    </row>
    <row r="21" spans="2:4" x14ac:dyDescent="0.3">
      <c r="D21" s="56"/>
    </row>
    <row r="22" spans="2:4" x14ac:dyDescent="0.3">
      <c r="B22" s="55" t="s">
        <v>91</v>
      </c>
      <c r="D22" s="56"/>
    </row>
    <row r="23" spans="2:4" x14ac:dyDescent="0.3">
      <c r="B23" t="s">
        <v>75</v>
      </c>
      <c r="D23" s="56"/>
    </row>
    <row r="24" spans="2:4" x14ac:dyDescent="0.3">
      <c r="B24" t="s">
        <v>76</v>
      </c>
      <c r="D24" s="56"/>
    </row>
    <row r="25" spans="2:4" x14ac:dyDescent="0.3">
      <c r="B25" t="s">
        <v>77</v>
      </c>
      <c r="D25" s="56"/>
    </row>
    <row r="26" spans="2:4" x14ac:dyDescent="0.3">
      <c r="D26" s="56"/>
    </row>
    <row r="27" spans="2:4" x14ac:dyDescent="0.3">
      <c r="D27" s="56"/>
    </row>
    <row r="28" spans="2:4" x14ac:dyDescent="0.3">
      <c r="D28" s="56"/>
    </row>
    <row r="29" spans="2:4" x14ac:dyDescent="0.3">
      <c r="D29" s="5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D8:H19"/>
  <sheetViews>
    <sheetView showGridLines="0" topLeftCell="A5" workbookViewId="0">
      <selection activeCell="G30" sqref="G30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spans="4:8" ht="20.399999999999999" thickBot="1" x14ac:dyDescent="0.45">
      <c r="D8" s="285" t="s">
        <v>142</v>
      </c>
      <c r="E8" s="285"/>
      <c r="F8" s="285"/>
      <c r="G8" s="285"/>
    </row>
    <row r="9" spans="4:8" ht="15.6" thickTop="1" thickBot="1" x14ac:dyDescent="0.35"/>
    <row r="10" spans="4:8" ht="18.600000000000001" thickBot="1" x14ac:dyDescent="0.4">
      <c r="D10" s="92" t="s">
        <v>90</v>
      </c>
      <c r="E10" s="86"/>
      <c r="F10" s="87" t="s">
        <v>81</v>
      </c>
    </row>
    <row r="11" spans="4:8" ht="7.95" customHeight="1" thickBot="1" x14ac:dyDescent="0.4">
      <c r="D11" s="92"/>
      <c r="E11" s="86"/>
      <c r="F11" s="88"/>
    </row>
    <row r="12" spans="4:8" ht="18.600000000000001" thickBot="1" x14ac:dyDescent="0.4">
      <c r="D12" s="92" t="s">
        <v>83</v>
      </c>
      <c r="E12" s="86"/>
      <c r="F12" s="87" t="s">
        <v>168</v>
      </c>
    </row>
    <row r="13" spans="4:8" ht="8.4" customHeight="1" thickBot="1" x14ac:dyDescent="0.4">
      <c r="D13" s="92"/>
      <c r="E13" s="86"/>
      <c r="F13" s="88"/>
    </row>
    <row r="14" spans="4:8" ht="18.600000000000001" thickBot="1" x14ac:dyDescent="0.4">
      <c r="D14" s="92" t="s">
        <v>91</v>
      </c>
      <c r="E14" s="86"/>
      <c r="F14" s="89">
        <v>1500000</v>
      </c>
      <c r="H14" s="56"/>
    </row>
    <row r="15" spans="4:8" ht="7.95" customHeight="1" thickBot="1" x14ac:dyDescent="0.4">
      <c r="D15" s="92"/>
      <c r="E15" s="86"/>
      <c r="F15" s="90"/>
    </row>
    <row r="16" spans="4:8" ht="18.600000000000001" customHeight="1" thickBot="1" x14ac:dyDescent="0.4">
      <c r="D16" s="92" t="s">
        <v>141</v>
      </c>
      <c r="E16" s="86"/>
      <c r="F16" s="87" t="s">
        <v>155</v>
      </c>
    </row>
    <row r="17" spans="4:7" ht="11.4" customHeight="1" x14ac:dyDescent="0.35">
      <c r="D17" s="92"/>
      <c r="E17" s="86"/>
    </row>
    <row r="18" spans="4:7" ht="18.600000000000001" customHeight="1" x14ac:dyDescent="0.4">
      <c r="D18" s="92" t="s">
        <v>165</v>
      </c>
      <c r="E18" s="86"/>
      <c r="F18" s="91" t="str">
        <f>IF(F14&lt;=1257800,"Small",IF(AND(F14&gt;1257800,F14&lt;=2034240),"Medium", "Large"))</f>
        <v>Medium</v>
      </c>
      <c r="G18" s="85" t="s">
        <v>154</v>
      </c>
    </row>
    <row r="19" spans="4:7" ht="19.8" x14ac:dyDescent="0.4">
      <c r="D19" s="92" t="s">
        <v>166</v>
      </c>
      <c r="F19" s="118" t="str">
        <f>IF(F14&lt;=1105382,"Small",IF(AND(F14&gt;1105382,F14&lt;=1428221),"Medium","Large"))</f>
        <v>Large</v>
      </c>
    </row>
  </sheetData>
  <mergeCells count="1">
    <mergeCell ref="D8:G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1C3BD-90F9-4019-B1B0-E5DF1E00DB4E}">
  <sheetPr codeName="Sheet5">
    <tabColor theme="9" tint="0.59999389629810485"/>
  </sheetPr>
  <dimension ref="A2:Y208"/>
  <sheetViews>
    <sheetView tabSelected="1" topLeftCell="C82" zoomScaleNormal="100" workbookViewId="0">
      <selection activeCell="F97" sqref="F97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9" width="15.5546875" customWidth="1"/>
    <col min="21" max="21" width="13.5546875" bestFit="1" customWidth="1"/>
    <col min="22" max="22" width="15.33203125" customWidth="1"/>
    <col min="23" max="23" width="13.88671875" customWidth="1"/>
    <col min="24" max="24" width="11.88671875" customWidth="1"/>
    <col min="25" max="25" width="20.21875" bestFit="1" customWidth="1"/>
  </cols>
  <sheetData>
    <row r="2" spans="2:24" x14ac:dyDescent="0.3">
      <c r="L2" s="56"/>
      <c r="M2" s="56"/>
      <c r="N2" s="56"/>
      <c r="O2" s="56"/>
      <c r="P2" s="56"/>
    </row>
    <row r="3" spans="2:24" ht="15" customHeight="1" thickBot="1" x14ac:dyDescent="0.35">
      <c r="L3" s="115"/>
      <c r="M3" s="115"/>
      <c r="N3" s="115"/>
      <c r="O3" s="115"/>
      <c r="P3" s="115"/>
      <c r="Q3" s="115"/>
      <c r="R3" s="115"/>
      <c r="S3" s="115"/>
    </row>
    <row r="4" spans="2:24" ht="15" customHeight="1" x14ac:dyDescent="0.3">
      <c r="I4" s="138" t="s">
        <v>212</v>
      </c>
      <c r="J4" s="148"/>
      <c r="K4" s="148"/>
      <c r="L4" s="136"/>
      <c r="M4" s="137"/>
      <c r="O4" s="115"/>
      <c r="P4" s="115"/>
      <c r="Q4" s="115"/>
      <c r="R4" s="115"/>
      <c r="S4" s="115"/>
    </row>
    <row r="5" spans="2:24" ht="15" customHeight="1" x14ac:dyDescent="0.3">
      <c r="I5" s="2" t="s">
        <v>82</v>
      </c>
      <c r="J5" s="1"/>
      <c r="K5" s="1"/>
      <c r="L5" s="286" t="str">
        <f>Input!F10</f>
        <v xml:space="preserve">Healthcare </v>
      </c>
      <c r="M5" s="287"/>
      <c r="N5" s="115"/>
      <c r="O5" s="115"/>
      <c r="P5" s="115"/>
      <c r="Q5" s="115"/>
      <c r="R5" s="115"/>
      <c r="S5" s="115"/>
    </row>
    <row r="6" spans="2:24" ht="15" customHeight="1" x14ac:dyDescent="0.3">
      <c r="I6" s="2" t="s">
        <v>173</v>
      </c>
      <c r="J6" s="1"/>
      <c r="K6" s="1"/>
      <c r="L6" s="286" t="str">
        <f>Input!F12</f>
        <v>Improve care and reduce cost</v>
      </c>
      <c r="M6" s="287"/>
      <c r="N6" s="115"/>
      <c r="O6" s="115"/>
      <c r="P6" s="115"/>
      <c r="Q6" s="115"/>
      <c r="R6" s="115"/>
      <c r="S6" s="115"/>
    </row>
    <row r="7" spans="2:24" ht="15" customHeight="1" x14ac:dyDescent="0.3">
      <c r="I7" s="2" t="s">
        <v>91</v>
      </c>
      <c r="J7" s="1"/>
      <c r="K7" s="1"/>
      <c r="L7" s="288">
        <f>Input!F14</f>
        <v>1500000</v>
      </c>
      <c r="M7" s="289"/>
      <c r="N7" s="115"/>
      <c r="O7" s="115"/>
      <c r="P7" s="115"/>
      <c r="Q7" s="115"/>
      <c r="R7" s="115"/>
      <c r="S7" s="115"/>
    </row>
    <row r="8" spans="2:24" ht="15" customHeight="1" x14ac:dyDescent="0.3">
      <c r="I8" s="2" t="s">
        <v>141</v>
      </c>
      <c r="J8" s="1"/>
      <c r="K8" s="1"/>
      <c r="L8" s="286" t="str">
        <f>Input!F16</f>
        <v>IBM Machine Learning</v>
      </c>
      <c r="M8" s="287"/>
      <c r="N8" s="115"/>
      <c r="O8" s="115"/>
      <c r="P8" s="115"/>
      <c r="Q8" s="115"/>
      <c r="R8" s="115"/>
      <c r="S8" s="115"/>
    </row>
    <row r="9" spans="2:24" ht="15" customHeight="1" thickBot="1" x14ac:dyDescent="0.35">
      <c r="I9" s="10"/>
      <c r="J9" s="5"/>
      <c r="K9" s="5"/>
      <c r="L9" s="130"/>
      <c r="M9" s="131"/>
      <c r="N9" s="115"/>
      <c r="O9" s="115"/>
      <c r="P9" s="115"/>
      <c r="Q9" s="115"/>
      <c r="R9" s="115"/>
      <c r="S9" s="115"/>
    </row>
    <row r="10" spans="2:24" ht="16.2" customHeight="1" thickBot="1" x14ac:dyDescent="0.35">
      <c r="I10" s="1"/>
      <c r="J10" s="1"/>
      <c r="K10" s="1"/>
      <c r="L10" s="129"/>
      <c r="M10" s="129"/>
      <c r="N10" s="115"/>
      <c r="O10" s="115"/>
      <c r="P10" s="115"/>
      <c r="Q10" s="115"/>
      <c r="R10" s="115"/>
      <c r="S10" s="115"/>
    </row>
    <row r="11" spans="2:24" ht="15" thickBot="1" x14ac:dyDescent="0.35">
      <c r="I11" s="172" t="s">
        <v>91</v>
      </c>
      <c r="J11" s="173">
        <f>L7</f>
        <v>1500000</v>
      </c>
    </row>
    <row r="12" spans="2:24" ht="15" thickBot="1" x14ac:dyDescent="0.35">
      <c r="U12" s="52"/>
    </row>
    <row r="13" spans="2:24" x14ac:dyDescent="0.3">
      <c r="I13" s="101"/>
      <c r="J13" s="296" t="s">
        <v>188</v>
      </c>
      <c r="K13" s="297"/>
      <c r="L13" s="290" t="s">
        <v>94</v>
      </c>
      <c r="M13" s="291"/>
      <c r="N13" s="302" t="s">
        <v>95</v>
      </c>
      <c r="O13" s="302"/>
      <c r="P13" s="290" t="s">
        <v>96</v>
      </c>
      <c r="Q13" s="291"/>
      <c r="R13" s="298" t="s">
        <v>187</v>
      </c>
      <c r="S13" s="299"/>
      <c r="U13" s="52"/>
    </row>
    <row r="14" spans="2:24" x14ac:dyDescent="0.3">
      <c r="I14" s="102" t="s">
        <v>163</v>
      </c>
      <c r="J14" s="102" t="s">
        <v>98</v>
      </c>
      <c r="K14" s="102" t="s">
        <v>97</v>
      </c>
      <c r="L14" s="103" t="s">
        <v>98</v>
      </c>
      <c r="M14" s="104" t="s">
        <v>97</v>
      </c>
      <c r="N14" s="105" t="s">
        <v>98</v>
      </c>
      <c r="O14" s="105" t="s">
        <v>97</v>
      </c>
      <c r="P14" s="103" t="s">
        <v>98</v>
      </c>
      <c r="Q14" s="104" t="s">
        <v>97</v>
      </c>
      <c r="R14" s="103" t="s">
        <v>98</v>
      </c>
      <c r="S14" s="104" t="s">
        <v>97</v>
      </c>
      <c r="U14" s="68"/>
    </row>
    <row r="15" spans="2:24" x14ac:dyDescent="0.3">
      <c r="I15" s="117"/>
      <c r="J15" s="274"/>
      <c r="K15" s="274"/>
      <c r="L15" s="257"/>
      <c r="M15" s="257"/>
      <c r="N15" s="257"/>
      <c r="O15" s="257"/>
      <c r="P15" s="257"/>
      <c r="Q15" s="256"/>
      <c r="R15" s="255"/>
      <c r="S15" s="256"/>
      <c r="U15" s="52"/>
      <c r="V15" s="52"/>
      <c r="W15" s="52"/>
      <c r="X15" s="52"/>
    </row>
    <row r="16" spans="2:24" x14ac:dyDescent="0.3">
      <c r="B16" s="119"/>
      <c r="C16" s="119"/>
      <c r="D16" s="119"/>
      <c r="E16" s="119"/>
      <c r="F16" s="119"/>
      <c r="G16" s="119"/>
      <c r="H16" s="119"/>
      <c r="I16" s="2" t="s">
        <v>161</v>
      </c>
      <c r="J16" s="275">
        <f>L16*(J19/L19)</f>
        <v>3.4380853393122282</v>
      </c>
      <c r="K16" s="275">
        <f>M16*(K19/M19)</f>
        <v>0.58166891947681432</v>
      </c>
      <c r="L16" s="276">
        <v>3.8328921391099158</v>
      </c>
      <c r="M16" s="276">
        <v>0.64846390039673518</v>
      </c>
      <c r="N16" s="276">
        <v>4.7874036055180813</v>
      </c>
      <c r="O16" s="276">
        <v>1.2330045449005576</v>
      </c>
      <c r="P16" s="276">
        <v>6.0437993524451086</v>
      </c>
      <c r="Q16" s="277">
        <v>1.8068979662263354</v>
      </c>
      <c r="R16" s="278">
        <f>P16*(R19/P19)</f>
        <v>6.5362782048230486</v>
      </c>
      <c r="S16" s="277">
        <f>Q16*(S19/Q19)</f>
        <v>1.9541330057898467</v>
      </c>
      <c r="U16" s="51"/>
      <c r="V16" s="56"/>
      <c r="W16" s="56"/>
      <c r="X16" s="56"/>
    </row>
    <row r="17" spans="1:25" x14ac:dyDescent="0.3">
      <c r="B17" s="120"/>
      <c r="C17" s="120"/>
      <c r="D17" s="120"/>
      <c r="E17" s="120"/>
      <c r="F17" s="120"/>
      <c r="G17" s="120"/>
      <c r="H17" s="120"/>
      <c r="I17" s="2" t="s">
        <v>162</v>
      </c>
      <c r="J17" s="98">
        <v>4.72</v>
      </c>
      <c r="K17" s="98"/>
      <c r="L17" s="279">
        <v>5.6323161039932161</v>
      </c>
      <c r="M17" s="279">
        <v>16.2628820330957</v>
      </c>
      <c r="N17" s="279">
        <v>5.1943392091916571</v>
      </c>
      <c r="O17" s="279">
        <v>12.774301245419139</v>
      </c>
      <c r="P17" s="279">
        <v>4.518656458469283</v>
      </c>
      <c r="Q17" s="280">
        <v>10.430554180916278</v>
      </c>
      <c r="R17" s="281"/>
      <c r="S17" s="280"/>
      <c r="U17" s="56"/>
      <c r="V17" s="52"/>
      <c r="W17" s="54"/>
      <c r="X17" s="52"/>
    </row>
    <row r="18" spans="1:25" x14ac:dyDescent="0.3">
      <c r="G18">
        <f>600000*(M19/L19)</f>
        <v>858459.26147406187</v>
      </c>
      <c r="I18" s="2"/>
      <c r="J18" s="98"/>
      <c r="K18" s="98"/>
      <c r="L18" s="279"/>
      <c r="M18" s="279"/>
      <c r="N18" s="279"/>
      <c r="O18" s="279"/>
      <c r="P18" s="279"/>
      <c r="Q18" s="280"/>
      <c r="R18" s="281"/>
      <c r="S18" s="280"/>
      <c r="U18" s="4"/>
      <c r="V18" s="56"/>
      <c r="W18" s="52"/>
    </row>
    <row r="19" spans="1:25" x14ac:dyDescent="0.3">
      <c r="F19" s="54">
        <f>(H29-F29)/H29</f>
        <v>0.22534257653402379</v>
      </c>
      <c r="I19" s="2" t="s">
        <v>91</v>
      </c>
      <c r="J19" s="99">
        <v>600000</v>
      </c>
      <c r="K19" s="99">
        <f>J19*(M19/L19)</f>
        <v>858459.26147406187</v>
      </c>
      <c r="L19" s="99">
        <v>668900</v>
      </c>
      <c r="M19" s="99">
        <v>957039</v>
      </c>
      <c r="N19" s="99">
        <v>1257800</v>
      </c>
      <c r="O19" s="99">
        <v>1106382</v>
      </c>
      <c r="P19" s="99">
        <v>2034240</v>
      </c>
      <c r="Q19" s="100">
        <v>1428221</v>
      </c>
      <c r="R19" s="259">
        <v>2200000</v>
      </c>
      <c r="S19" s="100">
        <f>Q19*(R19/P19)</f>
        <v>1544599.5556079911</v>
      </c>
      <c r="U19" s="56"/>
      <c r="V19" s="56"/>
      <c r="W19" s="116"/>
    </row>
    <row r="20" spans="1:25" x14ac:dyDescent="0.3">
      <c r="I20" s="2"/>
      <c r="J20" s="98"/>
      <c r="K20" s="98"/>
      <c r="L20" s="99"/>
      <c r="M20" s="99"/>
      <c r="N20" s="99"/>
      <c r="O20" s="99"/>
      <c r="P20" s="99"/>
      <c r="Q20" s="100"/>
      <c r="R20" s="259"/>
      <c r="S20" s="100"/>
      <c r="V20" s="56">
        <v>668900</v>
      </c>
      <c r="W20" s="52"/>
    </row>
    <row r="21" spans="1:25" x14ac:dyDescent="0.3">
      <c r="I21" s="2" t="s">
        <v>65</v>
      </c>
      <c r="J21" s="98"/>
      <c r="K21" s="98"/>
      <c r="L21" s="99">
        <v>8140990.3764973814</v>
      </c>
      <c r="M21" s="99">
        <v>7051033.3264818089</v>
      </c>
      <c r="N21" s="99">
        <v>14413532.151984945</v>
      </c>
      <c r="O21" s="99">
        <v>12010631.17679482</v>
      </c>
      <c r="P21" s="99">
        <v>24972484.683694191</v>
      </c>
      <c r="Q21" s="100">
        <v>20687919.228184681</v>
      </c>
      <c r="R21" s="259"/>
      <c r="S21" s="100"/>
      <c r="V21" s="53">
        <v>399378</v>
      </c>
      <c r="W21" s="52"/>
      <c r="X21" s="54"/>
      <c r="Y21" s="52">
        <f>W21*X21</f>
        <v>0</v>
      </c>
    </row>
    <row r="22" spans="1:25" ht="15" thickBot="1" x14ac:dyDescent="0.35">
      <c r="G22" s="54">
        <f>J11/M19</f>
        <v>1.5673342465667544</v>
      </c>
      <c r="I22" s="10" t="s">
        <v>69</v>
      </c>
      <c r="J22" s="267"/>
      <c r="K22" s="267"/>
      <c r="L22" s="264">
        <v>1684496.6</v>
      </c>
      <c r="M22" s="264">
        <v>4277335.5999999996</v>
      </c>
      <c r="N22" s="264">
        <v>2490500.6</v>
      </c>
      <c r="O22" s="264">
        <v>5378686.4000000004</v>
      </c>
      <c r="P22" s="264">
        <v>3545314.6</v>
      </c>
      <c r="Q22" s="265">
        <v>7370385.2000000002</v>
      </c>
      <c r="R22" s="263"/>
      <c r="S22" s="265"/>
      <c r="U22" s="56"/>
      <c r="V22" s="53">
        <v>205406.20000000004</v>
      </c>
      <c r="W22" s="56"/>
    </row>
    <row r="23" spans="1:25" x14ac:dyDescent="0.3">
      <c r="U23" s="56"/>
      <c r="V23" s="53">
        <v>1273684.2</v>
      </c>
      <c r="W23" s="56"/>
    </row>
    <row r="24" spans="1:25" ht="15" thickBot="1" x14ac:dyDescent="0.35">
      <c r="U24" s="54"/>
      <c r="V24" s="282">
        <v>216000</v>
      </c>
      <c r="W24" s="54"/>
    </row>
    <row r="25" spans="1:25" x14ac:dyDescent="0.3">
      <c r="E25" s="294" t="s">
        <v>189</v>
      </c>
      <c r="F25" s="295"/>
      <c r="G25" s="300" t="s">
        <v>189</v>
      </c>
      <c r="H25" s="300"/>
      <c r="I25" s="101"/>
      <c r="J25" s="296" t="s">
        <v>195</v>
      </c>
      <c r="K25" s="301"/>
      <c r="L25" s="290" t="s">
        <v>94</v>
      </c>
      <c r="M25" s="291"/>
      <c r="N25" s="302" t="s">
        <v>95</v>
      </c>
      <c r="O25" s="302"/>
      <c r="P25" s="290" t="s">
        <v>96</v>
      </c>
      <c r="Q25" s="291"/>
      <c r="R25" s="292" t="s">
        <v>143</v>
      </c>
      <c r="S25" s="293"/>
      <c r="U25" s="52"/>
      <c r="V25" s="53">
        <v>997500</v>
      </c>
      <c r="W25" s="52"/>
    </row>
    <row r="26" spans="1:25" x14ac:dyDescent="0.3">
      <c r="A26" s="164">
        <f>J11</f>
        <v>1500000</v>
      </c>
      <c r="E26" s="174" t="s">
        <v>98</v>
      </c>
      <c r="F26" s="175" t="s">
        <v>97</v>
      </c>
      <c r="G26" s="175" t="s">
        <v>98</v>
      </c>
      <c r="H26" s="175" t="s">
        <v>97</v>
      </c>
      <c r="I26" s="102" t="s">
        <v>186</v>
      </c>
      <c r="J26" s="102" t="s">
        <v>98</v>
      </c>
      <c r="K26" s="102" t="s">
        <v>97</v>
      </c>
      <c r="L26" s="103" t="s">
        <v>98</v>
      </c>
      <c r="M26" s="104" t="s">
        <v>97</v>
      </c>
      <c r="N26" s="105" t="s">
        <v>98</v>
      </c>
      <c r="O26" s="105" t="s">
        <v>97</v>
      </c>
      <c r="P26" s="103" t="s">
        <v>98</v>
      </c>
      <c r="Q26" s="104" t="s">
        <v>97</v>
      </c>
      <c r="R26" s="105" t="s">
        <v>98</v>
      </c>
      <c r="S26" s="104" t="s">
        <v>97</v>
      </c>
      <c r="U26" s="52"/>
      <c r="V26" s="53">
        <v>975000</v>
      </c>
    </row>
    <row r="27" spans="1:25" x14ac:dyDescent="0.3">
      <c r="E27" s="2"/>
      <c r="F27" s="1"/>
      <c r="G27" s="1"/>
      <c r="H27" s="1"/>
      <c r="I27" s="2"/>
      <c r="J27" s="1"/>
      <c r="K27" s="1"/>
      <c r="L27" s="97"/>
      <c r="M27" s="98"/>
      <c r="N27" s="98"/>
      <c r="O27" s="98"/>
      <c r="P27" s="98"/>
      <c r="Q27" s="258"/>
      <c r="R27" s="1"/>
      <c r="S27" s="3"/>
      <c r="V27" s="53"/>
      <c r="W27" s="54"/>
    </row>
    <row r="28" spans="1:25" x14ac:dyDescent="0.3">
      <c r="E28" s="178"/>
      <c r="F28" s="179"/>
      <c r="G28" s="180"/>
      <c r="H28" s="180"/>
      <c r="I28" s="111" t="s">
        <v>160</v>
      </c>
      <c r="J28" s="149"/>
      <c r="K28" s="110"/>
      <c r="L28" s="97"/>
      <c r="M28" s="98"/>
      <c r="N28" s="98"/>
      <c r="O28" s="98"/>
      <c r="P28" s="98"/>
      <c r="Q28" s="258"/>
      <c r="R28" s="110"/>
      <c r="S28" s="112"/>
    </row>
    <row r="29" spans="1:25" x14ac:dyDescent="0.3">
      <c r="A29" s="56">
        <f>J52</f>
        <v>1500000</v>
      </c>
      <c r="B29" s="56">
        <f>K52</f>
        <v>1206775.3411467725</v>
      </c>
      <c r="C29" s="54">
        <f>A29/B29</f>
        <v>1.2429819775523276</v>
      </c>
      <c r="D29" s="56"/>
      <c r="E29" s="176">
        <f>IF($J$11&lt;$J$19,0,IF(AND($J$11&gt;=$J$19,$J$11&lt;$L$19),J29,IF(AND($J$11&gt;=$L$19,$J$11&lt;$N$19),L29,IF(AND($J$11&gt;=$N$19,$J$11&lt;$P$19),N29,IF(AND($J$11&gt;=$P$19,$J$11&lt;=$R$19),P29,0)))))</f>
        <v>1257800</v>
      </c>
      <c r="F29" s="4">
        <f>IF($J$11&lt;$J$19,0,IF(AND($J$11&gt;=$J$19,$J$11&lt;$L$19),K29,IF(AND($J$11&gt;=$L$19,$J$11&lt;$N$19),M29,IF(AND($J$11&gt;=$N$19,$J$11&lt;$P$19),O29,IF(AND($J$11&gt;=$P$19,$J$11&lt;=$R$19),Q29,0)))))</f>
        <v>1106382</v>
      </c>
      <c r="G29" s="4">
        <f>IF($J$11&lt;$J$19,0,IF(AND($J$11&gt;=$J$19,$J$11&lt;$L$19),L29,IF(AND($J$11&gt;=$L$19,$J$11&lt;$N$19),N29,IF(AND($J$11&gt;=$N$19,$J$11&lt;$P$19),P29,IF(AND($J$11&gt;=$P$19,$J$11&lt;=$R$19),R29,0)))))</f>
        <v>2034240</v>
      </c>
      <c r="H29" s="4">
        <f>IF($J$11&lt;$J$19,0,IF(AND($J$11&gt;=$J$19,$J$11&lt;$L$19),M29,IF(AND($J$11&gt;=$L$19,$J$11&lt;$N$19),O29,IF(AND($J$11&gt;=$N$19,$J$11&lt;$P$19),Q29,IF(AND($J$11&gt;=$P$19,$J$11&lt;=$R$19),S29,0)))))</f>
        <v>1428221</v>
      </c>
      <c r="I29" s="73" t="s">
        <v>159</v>
      </c>
      <c r="J29" s="132">
        <f>J19</f>
        <v>600000</v>
      </c>
      <c r="K29" s="24">
        <f>J29*(M29/L29)</f>
        <v>858459.26147406187</v>
      </c>
      <c r="L29" s="260">
        <v>668900</v>
      </c>
      <c r="M29" s="261">
        <v>957039</v>
      </c>
      <c r="N29" s="261">
        <v>1257800</v>
      </c>
      <c r="O29" s="261">
        <v>1106382</v>
      </c>
      <c r="P29" s="261">
        <v>2034240</v>
      </c>
      <c r="Q29" s="262">
        <v>1428221</v>
      </c>
      <c r="R29" s="139">
        <f>R19</f>
        <v>2200000</v>
      </c>
      <c r="S29" s="269">
        <f>S19</f>
        <v>1544599.5556079911</v>
      </c>
    </row>
    <row r="30" spans="1:25" x14ac:dyDescent="0.3">
      <c r="A30" s="56">
        <f t="shared" ref="A30:A43" si="0">J53</f>
        <v>703317.0198341147</v>
      </c>
      <c r="B30" s="56">
        <f t="shared" ref="B30:B43" si="1">K53</f>
        <v>2996551.4810674358</v>
      </c>
      <c r="C30" s="54">
        <f t="shared" ref="C30:C31" si="2">A30/B30</f>
        <v>0.23470880586492648</v>
      </c>
      <c r="D30" s="56"/>
      <c r="E30" s="176">
        <f t="shared" ref="E30:E43" si="3">IF($J$11&lt;$L$19,J30,IF(AND($J$11&gt;=$L$19,$J$11&lt;$N$19),L30,IF(AND($J$11&gt;=$N$19,$J$11&lt;$P$19),N30,IF(AND($J$11&gt;=$P$19,$J$11&lt;$R$19),P30,IF($J$11&gt;=$R$19,R30,R30)))))</f>
        <v>616482</v>
      </c>
      <c r="F30" s="4">
        <f t="shared" ref="F30:F43" si="4">IF($J$11&lt;$J$19,0,IF(AND($J$11&gt;=$J$19,$J$11&lt;$L$19),K30,IF(AND($J$11&gt;=$L$19,$J$11&lt;$N$19),M30,IF(AND($J$11&gt;=$N$19,$J$11&lt;$P$19),O30,IF(AND($J$11&gt;=$P$19,$J$11&lt;=$R$19),Q30,0)))))</f>
        <v>2597084</v>
      </c>
      <c r="G30" s="4">
        <f t="shared" ref="G30:G43" si="5">IF($J$11&lt;$L$19,L30,IF(AND($J$11&gt;=$L$19,$J$11&lt;$N$19),N30,IF(AND($J$11&gt;=$N$19,$J$11&lt;$P$19),P30,IF(AND($J$11&gt;=$P$19,$J$11&lt;=$R$19),R30))))</f>
        <v>894856</v>
      </c>
      <c r="H30" s="4">
        <f t="shared" ref="H30:H43" si="6">IF($J$11&lt;$J$19,0,IF(AND($J$11&gt;=$J$19,$J$11&lt;$L$19),M30,IF(AND($J$11&gt;=$L$19,$J$11&lt;$N$19),O30,IF(AND($J$11&gt;=$N$19,$J$11&lt;$P$19),Q30,IF(AND($J$11&gt;=$P$19,$J$11&lt;=$R$19),S30,0)))))</f>
        <v>3877689</v>
      </c>
      <c r="I30" s="73" t="s">
        <v>158</v>
      </c>
      <c r="J30" s="132">
        <f>L30*($J$29/$L$29)</f>
        <v>358240.09567947377</v>
      </c>
      <c r="K30" s="24">
        <f>M30*($L$29/$M$29)</f>
        <v>1175744.7852177392</v>
      </c>
      <c r="L30" s="260">
        <v>399378</v>
      </c>
      <c r="M30" s="261">
        <v>1682215</v>
      </c>
      <c r="N30" s="261">
        <v>616482</v>
      </c>
      <c r="O30" s="261">
        <v>2597084</v>
      </c>
      <c r="P30" s="261">
        <v>894856</v>
      </c>
      <c r="Q30" s="262">
        <v>3877689</v>
      </c>
      <c r="R30" s="139">
        <f>P30*$R$29/$P$29</f>
        <v>967773.32074878085</v>
      </c>
      <c r="S30" s="269">
        <f>Q30*($R$19/$P$19)</f>
        <v>4193662.3997168476</v>
      </c>
    </row>
    <row r="31" spans="1:25" ht="15" thickBot="1" x14ac:dyDescent="0.35">
      <c r="A31" s="56">
        <f t="shared" si="0"/>
        <v>205406.20000000004</v>
      </c>
      <c r="B31" s="56">
        <f t="shared" si="1"/>
        <v>598881.06397403532</v>
      </c>
      <c r="C31" s="54">
        <f t="shared" si="2"/>
        <v>0.34298329393982224</v>
      </c>
      <c r="D31" s="56"/>
      <c r="E31" s="176">
        <f t="shared" si="3"/>
        <v>205406.20000000004</v>
      </c>
      <c r="F31" s="4">
        <f t="shared" si="4"/>
        <v>558406.79999999993</v>
      </c>
      <c r="G31" s="4">
        <f t="shared" si="5"/>
        <v>205406.20000000004</v>
      </c>
      <c r="H31" s="4">
        <f t="shared" si="6"/>
        <v>688158.4</v>
      </c>
      <c r="I31" s="73" t="s">
        <v>67</v>
      </c>
      <c r="J31" s="132">
        <f t="shared" ref="J31:J43" si="7">L31*($J$29/$L$29)</f>
        <v>184248.34803408585</v>
      </c>
      <c r="K31" s="24">
        <f t="shared" ref="K31:K43" si="8">M31*($L$29/$M$29)</f>
        <v>381632.92622348719</v>
      </c>
      <c r="L31" s="260">
        <v>205406.20000000004</v>
      </c>
      <c r="M31" s="261">
        <v>546027.19999999995</v>
      </c>
      <c r="N31" s="261">
        <v>205406.20000000004</v>
      </c>
      <c r="O31" s="261">
        <v>558406.79999999993</v>
      </c>
      <c r="P31" s="261">
        <v>205406.20000000004</v>
      </c>
      <c r="Q31" s="262">
        <v>688158.4</v>
      </c>
      <c r="R31" s="139">
        <f>P31*$R$29/$P$29</f>
        <v>222143.71952178705</v>
      </c>
      <c r="S31" s="269">
        <f>Q31*($R$19/$P$19)</f>
        <v>744232.97152745002</v>
      </c>
    </row>
    <row r="32" spans="1:25" ht="15" thickBot="1" x14ac:dyDescent="0.35">
      <c r="A32" s="162">
        <f>SUM(A29:A31)</f>
        <v>2408723.2198341149</v>
      </c>
      <c r="B32" s="163">
        <f>SUM(B29:B31)</f>
        <v>4802207.8861882435</v>
      </c>
      <c r="C32" s="56"/>
      <c r="D32" s="56"/>
      <c r="E32" s="177"/>
      <c r="F32" s="179"/>
      <c r="G32" s="179"/>
      <c r="H32" s="179"/>
      <c r="I32" s="111" t="s">
        <v>92</v>
      </c>
      <c r="J32" s="132">
        <f>SUM(J29:J31)</f>
        <v>1142488.4437135598</v>
      </c>
      <c r="K32" s="24">
        <f t="shared" si="8"/>
        <v>2226277.7114412268</v>
      </c>
      <c r="L32" s="259">
        <v>1273684.2</v>
      </c>
      <c r="M32" s="99">
        <v>3185281.2</v>
      </c>
      <c r="N32" s="99">
        <v>2079688.2</v>
      </c>
      <c r="O32" s="99">
        <v>4261872.8</v>
      </c>
      <c r="P32" s="99">
        <v>3134502.2</v>
      </c>
      <c r="Q32" s="100">
        <v>5994068.4000000004</v>
      </c>
      <c r="R32" s="132">
        <f t="shared" ref="R32" si="9">SUM(R29:R31)</f>
        <v>3389917.0402705679</v>
      </c>
      <c r="S32" s="270">
        <f t="shared" ref="S32" si="10">Q32*$S$29/$Q$29</f>
        <v>6482494.9268522887</v>
      </c>
    </row>
    <row r="33" spans="1:22" x14ac:dyDescent="0.3">
      <c r="A33" s="56">
        <f t="shared" si="0"/>
        <v>447333.12657771364</v>
      </c>
      <c r="B33" s="56">
        <f t="shared" si="1"/>
        <v>352969.63577353046</v>
      </c>
      <c r="C33" s="54">
        <f>A33/B33</f>
        <v>1.2673416669323021</v>
      </c>
      <c r="D33" s="56"/>
      <c r="E33" s="176">
        <f t="shared" si="3"/>
        <v>357720</v>
      </c>
      <c r="F33" s="4">
        <f t="shared" si="4"/>
        <v>280800</v>
      </c>
      <c r="G33" s="4">
        <f t="shared" si="5"/>
        <v>645000</v>
      </c>
      <c r="H33" s="4">
        <f t="shared" si="6"/>
        <v>512160</v>
      </c>
      <c r="I33" s="73" t="s">
        <v>59</v>
      </c>
      <c r="J33" s="132">
        <f t="shared" si="7"/>
        <v>193750.93436986097</v>
      </c>
      <c r="K33" s="24">
        <f t="shared" si="8"/>
        <v>125303.55816220655</v>
      </c>
      <c r="L33" s="260">
        <v>216000</v>
      </c>
      <c r="M33" s="261">
        <v>179280</v>
      </c>
      <c r="N33" s="261">
        <v>357720</v>
      </c>
      <c r="O33" s="261">
        <v>280800</v>
      </c>
      <c r="P33" s="261">
        <v>645000</v>
      </c>
      <c r="Q33" s="262">
        <v>512160</v>
      </c>
      <c r="R33" s="139">
        <f>P33*$R$29/$P$29</f>
        <v>697557.81028787163</v>
      </c>
      <c r="S33" s="269">
        <f>Q33*($R$19/$P$19)</f>
        <v>553893.34591788577</v>
      </c>
    </row>
    <row r="34" spans="1:22" x14ac:dyDescent="0.3">
      <c r="A34" s="56">
        <f t="shared" si="0"/>
        <v>1858163.5412910206</v>
      </c>
      <c r="B34" s="56">
        <f t="shared" si="1"/>
        <v>1422880.6346916696</v>
      </c>
      <c r="C34" s="54">
        <f t="shared" ref="C34:C45" si="11">A34/B34</f>
        <v>1.3059166707217675</v>
      </c>
      <c r="D34" s="56"/>
      <c r="E34" s="176">
        <f t="shared" si="3"/>
        <v>1620000</v>
      </c>
      <c r="F34" s="4">
        <f t="shared" si="4"/>
        <v>1080000</v>
      </c>
      <c r="G34" s="4">
        <f t="shared" si="5"/>
        <v>2383500</v>
      </c>
      <c r="H34" s="4">
        <f t="shared" si="6"/>
        <v>2179200</v>
      </c>
      <c r="I34" s="73" t="s">
        <v>60</v>
      </c>
      <c r="J34" s="132">
        <f t="shared" si="7"/>
        <v>894752.57886081631</v>
      </c>
      <c r="K34" s="24">
        <f t="shared" si="8"/>
        <v>613517.75632967928</v>
      </c>
      <c r="L34" s="260">
        <v>997500</v>
      </c>
      <c r="M34" s="261">
        <v>877800</v>
      </c>
      <c r="N34" s="261">
        <v>1620000</v>
      </c>
      <c r="O34" s="261">
        <v>1080000</v>
      </c>
      <c r="P34" s="261">
        <v>2383500</v>
      </c>
      <c r="Q34" s="262">
        <v>2179200</v>
      </c>
      <c r="R34" s="139">
        <f>P34*$R$29/$P$29</f>
        <v>2577719.4431335535</v>
      </c>
      <c r="S34" s="269">
        <f t="shared" ref="S34:S43" si="12">Q34*($R$19/$P$19)</f>
        <v>2356772.0622935346</v>
      </c>
      <c r="U34" s="54"/>
      <c r="V34" s="54"/>
    </row>
    <row r="35" spans="1:22" x14ac:dyDescent="0.3">
      <c r="A35" s="56">
        <f t="shared" si="0"/>
        <v>2385979.084024522</v>
      </c>
      <c r="B35" s="56">
        <f t="shared" si="1"/>
        <v>1854506.3108546701</v>
      </c>
      <c r="C35" s="54">
        <f t="shared" si="11"/>
        <v>1.2865845050292208</v>
      </c>
      <c r="D35" s="56"/>
      <c r="E35" s="176">
        <f t="shared" si="3"/>
        <v>1890000</v>
      </c>
      <c r="F35" s="4">
        <f t="shared" si="4"/>
        <v>1512000</v>
      </c>
      <c r="G35" s="4">
        <f t="shared" si="5"/>
        <v>3480000</v>
      </c>
      <c r="H35" s="4">
        <f t="shared" si="6"/>
        <v>2610000</v>
      </c>
      <c r="I35" s="73" t="s">
        <v>61</v>
      </c>
      <c r="J35" s="132">
        <f t="shared" si="7"/>
        <v>874570.18986395572</v>
      </c>
      <c r="K35" s="24">
        <f t="shared" si="8"/>
        <v>599679.00994630309</v>
      </c>
      <c r="L35" s="260">
        <v>975000</v>
      </c>
      <c r="M35" s="261">
        <v>858000</v>
      </c>
      <c r="N35" s="261">
        <v>1890000</v>
      </c>
      <c r="O35" s="261">
        <v>1512000</v>
      </c>
      <c r="P35" s="261">
        <v>3480000</v>
      </c>
      <c r="Q35" s="262">
        <v>2610000</v>
      </c>
      <c r="R35" s="139">
        <f>P35*$R$29/$P$29</f>
        <v>3763567.7206229353</v>
      </c>
      <c r="S35" s="269">
        <f t="shared" si="12"/>
        <v>2822675.7904672013</v>
      </c>
    </row>
    <row r="36" spans="1:22" x14ac:dyDescent="0.3">
      <c r="A36" s="56"/>
      <c r="B36" s="56"/>
      <c r="C36" s="54"/>
      <c r="D36" s="56"/>
      <c r="E36" s="178"/>
      <c r="F36" s="179"/>
      <c r="G36" s="179"/>
      <c r="H36" s="179"/>
      <c r="I36" s="111" t="s">
        <v>93</v>
      </c>
      <c r="J36" s="132"/>
      <c r="K36" s="24">
        <f t="shared" si="8"/>
        <v>0</v>
      </c>
      <c r="L36" s="260"/>
      <c r="M36" s="261"/>
      <c r="N36" s="261"/>
      <c r="O36" s="261"/>
      <c r="P36" s="261"/>
      <c r="Q36" s="262"/>
      <c r="R36" s="150"/>
      <c r="S36" s="269">
        <f t="shared" si="12"/>
        <v>0</v>
      </c>
      <c r="U36" s="53">
        <f>P35*U34</f>
        <v>0</v>
      </c>
    </row>
    <row r="37" spans="1:22" x14ac:dyDescent="0.3">
      <c r="A37" s="56">
        <f t="shared" si="0"/>
        <v>3089506.6714749373</v>
      </c>
      <c r="B37" s="56">
        <f t="shared" si="1"/>
        <v>2864324.2697439604</v>
      </c>
      <c r="C37" s="54">
        <f t="shared" si="11"/>
        <v>1.0786162391282275</v>
      </c>
      <c r="D37" s="56"/>
      <c r="E37" s="176">
        <f t="shared" si="3"/>
        <v>3024000.0000000005</v>
      </c>
      <c r="F37" s="4">
        <f t="shared" si="4"/>
        <v>2822400.0000000009</v>
      </c>
      <c r="G37" s="4">
        <f t="shared" si="5"/>
        <v>3234000</v>
      </c>
      <c r="H37" s="4">
        <f t="shared" si="6"/>
        <v>2956800.0000000005</v>
      </c>
      <c r="I37" s="73" t="s">
        <v>55</v>
      </c>
      <c r="J37" s="132">
        <f t="shared" si="7"/>
        <v>1883689.6397069821</v>
      </c>
      <c r="K37" s="24">
        <f t="shared" si="8"/>
        <v>1350326.1622567109</v>
      </c>
      <c r="L37" s="260">
        <v>2100000.0000000005</v>
      </c>
      <c r="M37" s="261">
        <v>1932000.0000000005</v>
      </c>
      <c r="N37" s="261">
        <v>3024000.0000000005</v>
      </c>
      <c r="O37" s="261">
        <v>2822400.0000000009</v>
      </c>
      <c r="P37" s="261">
        <v>3234000</v>
      </c>
      <c r="Q37" s="262">
        <v>2956800.0000000005</v>
      </c>
      <c r="R37" s="139">
        <f>P37*$R$29/$P$29</f>
        <v>3497522.4162340728</v>
      </c>
      <c r="S37" s="269">
        <f t="shared" si="12"/>
        <v>3197734.7805568669</v>
      </c>
    </row>
    <row r="38" spans="1:22" x14ac:dyDescent="0.3">
      <c r="A38" s="56">
        <f t="shared" si="0"/>
        <v>3374287.2701045806</v>
      </c>
      <c r="B38" s="56">
        <f t="shared" si="1"/>
        <v>2861036.0620266865</v>
      </c>
      <c r="C38" s="54">
        <f t="shared" si="11"/>
        <v>1.1793934773804702</v>
      </c>
      <c r="D38" s="56"/>
      <c r="E38" s="176">
        <f t="shared" si="3"/>
        <v>2419200.0000000005</v>
      </c>
      <c r="F38" s="4">
        <f t="shared" si="4"/>
        <v>2016000.0000000007</v>
      </c>
      <c r="G38" s="4">
        <f t="shared" si="5"/>
        <v>5481000.0000000009</v>
      </c>
      <c r="H38" s="4">
        <f t="shared" si="6"/>
        <v>4725000.0000000009</v>
      </c>
      <c r="I38" s="73" t="s">
        <v>62</v>
      </c>
      <c r="J38" s="132">
        <f t="shared" si="7"/>
        <v>954402.75078487094</v>
      </c>
      <c r="K38" s="24">
        <f t="shared" si="8"/>
        <v>587098.33141596103</v>
      </c>
      <c r="L38" s="260">
        <v>1064000.0000000002</v>
      </c>
      <c r="M38" s="261">
        <v>840000</v>
      </c>
      <c r="N38" s="261">
        <v>2419200.0000000005</v>
      </c>
      <c r="O38" s="261">
        <v>2016000.0000000007</v>
      </c>
      <c r="P38" s="261">
        <v>5481000.0000000009</v>
      </c>
      <c r="Q38" s="262">
        <v>4725000.0000000009</v>
      </c>
      <c r="R38" s="139">
        <f>P38*$R$29/$P$29</f>
        <v>5927619.1599811241</v>
      </c>
      <c r="S38" s="269">
        <f t="shared" si="12"/>
        <v>5110016.5172251072</v>
      </c>
    </row>
    <row r="39" spans="1:22" x14ac:dyDescent="0.3">
      <c r="A39" s="56">
        <f t="shared" si="0"/>
        <v>494946.82338724303</v>
      </c>
      <c r="B39" s="56">
        <f t="shared" si="1"/>
        <v>425557.33249711507</v>
      </c>
      <c r="C39" s="54">
        <f t="shared" si="11"/>
        <v>1.1630555640598634</v>
      </c>
      <c r="D39" s="56"/>
      <c r="E39" s="176">
        <f t="shared" si="3"/>
        <v>394341.78464999999</v>
      </c>
      <c r="F39" s="4">
        <f t="shared" si="4"/>
        <v>358492.53150000004</v>
      </c>
      <c r="G39" s="4">
        <f t="shared" si="5"/>
        <v>716859.44062499993</v>
      </c>
      <c r="H39" s="4">
        <f t="shared" si="6"/>
        <v>573487.55249999999</v>
      </c>
      <c r="I39" s="73" t="s">
        <v>58</v>
      </c>
      <c r="J39" s="132">
        <f t="shared" si="7"/>
        <v>185823.75616684111</v>
      </c>
      <c r="K39" s="24">
        <f t="shared" si="8"/>
        <v>130312.25181019268</v>
      </c>
      <c r="L39" s="260">
        <v>207162.51750000002</v>
      </c>
      <c r="M39" s="261">
        <v>186446.26574999999</v>
      </c>
      <c r="N39" s="261">
        <v>394341.78464999999</v>
      </c>
      <c r="O39" s="261">
        <v>358492.53150000004</v>
      </c>
      <c r="P39" s="261">
        <v>716859.44062499993</v>
      </c>
      <c r="Q39" s="262">
        <v>573487.55249999999</v>
      </c>
      <c r="R39" s="139">
        <f>P39*$R$29/$P$29</f>
        <v>775272.71579312161</v>
      </c>
      <c r="S39" s="269">
        <f t="shared" si="12"/>
        <v>620218.1726344974</v>
      </c>
      <c r="V39">
        <f>S19/Q19</f>
        <v>1.0814849771904986</v>
      </c>
    </row>
    <row r="40" spans="1:22" x14ac:dyDescent="0.3">
      <c r="A40" s="56"/>
      <c r="B40" s="56"/>
      <c r="C40" s="54"/>
      <c r="D40" s="56"/>
      <c r="E40" s="178">
        <f t="shared" si="3"/>
        <v>0</v>
      </c>
      <c r="F40" s="179">
        <f t="shared" si="4"/>
        <v>0</v>
      </c>
      <c r="G40" s="179">
        <f t="shared" si="5"/>
        <v>0</v>
      </c>
      <c r="H40" s="179">
        <f t="shared" si="6"/>
        <v>0</v>
      </c>
      <c r="I40" s="109" t="s">
        <v>140</v>
      </c>
      <c r="J40" s="132"/>
      <c r="K40" s="24">
        <f t="shared" si="8"/>
        <v>0</v>
      </c>
      <c r="L40" s="260"/>
      <c r="M40" s="261"/>
      <c r="N40" s="261"/>
      <c r="O40" s="261"/>
      <c r="P40" s="261"/>
      <c r="Q40" s="262"/>
      <c r="R40" s="150"/>
      <c r="S40" s="269">
        <f t="shared" si="12"/>
        <v>0</v>
      </c>
      <c r="V40" s="53">
        <f>Q33*V39</f>
        <v>553893.34591788577</v>
      </c>
    </row>
    <row r="41" spans="1:22" x14ac:dyDescent="0.3">
      <c r="A41" s="56">
        <f t="shared" si="0"/>
        <v>2290994.356495121</v>
      </c>
      <c r="B41" s="56">
        <f t="shared" si="1"/>
        <v>2014360.8717962652</v>
      </c>
      <c r="C41" s="54">
        <f t="shared" si="11"/>
        <v>1.1373306484315164</v>
      </c>
      <c r="D41" s="56"/>
      <c r="E41" s="176">
        <f t="shared" si="3"/>
        <v>1925331.3113347606</v>
      </c>
      <c r="F41" s="4">
        <f t="shared" si="4"/>
        <v>1698821.7452953765</v>
      </c>
      <c r="G41" s="4">
        <f t="shared" si="5"/>
        <v>3097566.7150684935</v>
      </c>
      <c r="H41" s="4">
        <f t="shared" si="6"/>
        <v>2710370.8756849309</v>
      </c>
      <c r="I41" s="73" t="s">
        <v>63</v>
      </c>
      <c r="J41" s="132">
        <f t="shared" si="7"/>
        <v>835402.95320429979</v>
      </c>
      <c r="K41" s="24">
        <f t="shared" si="8"/>
        <v>591849.14560381963</v>
      </c>
      <c r="L41" s="260">
        <v>931335.05899726017</v>
      </c>
      <c r="M41" s="261">
        <v>846797.30073184927</v>
      </c>
      <c r="N41" s="261">
        <v>1925331.3113347606</v>
      </c>
      <c r="O41" s="261">
        <v>1698821.7452953765</v>
      </c>
      <c r="P41" s="261">
        <v>3097566.7150684935</v>
      </c>
      <c r="Q41" s="262">
        <v>2710370.8756849309</v>
      </c>
      <c r="R41" s="139">
        <f>P41*$R$29/$P$29</f>
        <v>3349971.8681918974</v>
      </c>
      <c r="S41" s="269">
        <f t="shared" si="12"/>
        <v>2931225.3846679092</v>
      </c>
    </row>
    <row r="42" spans="1:22" x14ac:dyDescent="0.3">
      <c r="A42" s="56">
        <f t="shared" si="0"/>
        <v>1656025.9646592138</v>
      </c>
      <c r="B42" s="56">
        <f t="shared" si="1"/>
        <v>1438930.5805986295</v>
      </c>
      <c r="C42" s="54">
        <f t="shared" si="11"/>
        <v>1.1508727293642389</v>
      </c>
      <c r="D42" s="56"/>
      <c r="E42" s="176">
        <f t="shared" si="3"/>
        <v>1488750</v>
      </c>
      <c r="F42" s="4">
        <f t="shared" si="4"/>
        <v>1314000</v>
      </c>
      <c r="G42" s="4">
        <f t="shared" si="5"/>
        <v>2025000</v>
      </c>
      <c r="H42" s="4">
        <f t="shared" si="6"/>
        <v>1714500</v>
      </c>
      <c r="I42" s="73" t="s">
        <v>64</v>
      </c>
      <c r="J42" s="132">
        <f t="shared" si="7"/>
        <v>793840.63387651369</v>
      </c>
      <c r="K42" s="24">
        <f t="shared" si="8"/>
        <v>559840.19460022007</v>
      </c>
      <c r="L42" s="260">
        <v>885000</v>
      </c>
      <c r="M42" s="261">
        <v>801000</v>
      </c>
      <c r="N42" s="261">
        <v>1488750</v>
      </c>
      <c r="O42" s="261">
        <v>1314000</v>
      </c>
      <c r="P42" s="261">
        <v>2025000</v>
      </c>
      <c r="Q42" s="262">
        <v>1714500</v>
      </c>
      <c r="R42" s="139">
        <f>P42*$R$29/$P$29</f>
        <v>2190007.0788107598</v>
      </c>
      <c r="S42" s="269">
        <f t="shared" si="12"/>
        <v>1854205.9933931099</v>
      </c>
    </row>
    <row r="43" spans="1:22" x14ac:dyDescent="0.3">
      <c r="A43" s="56">
        <f t="shared" si="0"/>
        <v>2110018.3359426446</v>
      </c>
      <c r="B43" s="56">
        <f t="shared" si="1"/>
        <v>1482828.610601773</v>
      </c>
      <c r="C43" s="54">
        <f t="shared" si="11"/>
        <v>1.4229684542479528</v>
      </c>
      <c r="D43" s="56"/>
      <c r="E43" s="176">
        <f t="shared" si="3"/>
        <v>1294189.056000184</v>
      </c>
      <c r="F43" s="4">
        <f t="shared" si="4"/>
        <v>928116.8999994403</v>
      </c>
      <c r="G43" s="4">
        <f t="shared" si="5"/>
        <v>3909558.5280006975</v>
      </c>
      <c r="H43" s="4">
        <f t="shared" si="6"/>
        <v>2706400.7999997512</v>
      </c>
      <c r="I43" s="2" t="s">
        <v>57</v>
      </c>
      <c r="J43" s="132">
        <f t="shared" si="7"/>
        <v>686194.76752888726</v>
      </c>
      <c r="K43" s="24">
        <f t="shared" si="8"/>
        <v>370228.23360800644</v>
      </c>
      <c r="L43" s="260">
        <v>764992.80000012112</v>
      </c>
      <c r="M43" s="261">
        <v>529709.7599999595</v>
      </c>
      <c r="N43" s="261">
        <v>1294189.056000184</v>
      </c>
      <c r="O43" s="261">
        <v>928116.8999994403</v>
      </c>
      <c r="P43" s="261">
        <v>3909558.5280006975</v>
      </c>
      <c r="Q43" s="262">
        <v>2706400.7999997512</v>
      </c>
      <c r="R43" s="139">
        <f>P43*$R$29/$P$29</f>
        <v>4228128.8154797535</v>
      </c>
      <c r="S43" s="269">
        <f t="shared" si="12"/>
        <v>2926931.807456078</v>
      </c>
    </row>
    <row r="44" spans="1:22" ht="15" thickBot="1" x14ac:dyDescent="0.35">
      <c r="C44" s="54"/>
      <c r="E44" s="181"/>
      <c r="F44" s="182"/>
      <c r="G44" s="182"/>
      <c r="H44" s="182"/>
      <c r="I44" s="113"/>
      <c r="J44" s="156"/>
      <c r="K44" s="114"/>
      <c r="L44" s="266"/>
      <c r="M44" s="267"/>
      <c r="N44" s="267"/>
      <c r="O44" s="267"/>
      <c r="P44" s="267"/>
      <c r="Q44" s="268"/>
      <c r="R44" s="139"/>
      <c r="S44" s="112"/>
    </row>
    <row r="45" spans="1:22" ht="15" thickBot="1" x14ac:dyDescent="0.35">
      <c r="A45" s="162">
        <f>SUM(A33:A43)</f>
        <v>17707255.173956998</v>
      </c>
      <c r="B45" s="162">
        <f>SUM(B33:B43)</f>
        <v>14717394.308584301</v>
      </c>
      <c r="C45" s="54">
        <f t="shared" si="11"/>
        <v>1.2031515092062719</v>
      </c>
      <c r="E45" s="164">
        <f>SUM(E33:E43)</f>
        <v>14413532.151984945</v>
      </c>
      <c r="F45" s="164">
        <f t="shared" ref="F45:G45" si="13">SUM(F33:F43)</f>
        <v>12010631.17679482</v>
      </c>
      <c r="G45" s="164">
        <f t="shared" si="13"/>
        <v>24972484.683694191</v>
      </c>
      <c r="H45" s="164">
        <f>SUM(H33:H43)</f>
        <v>20687919.228184681</v>
      </c>
      <c r="I45" s="204"/>
      <c r="J45" s="271">
        <f t="shared" ref="J45:Q45" si="14">SUM(J33:J43)/3</f>
        <v>2434142.7347876756</v>
      </c>
      <c r="K45" s="271">
        <f t="shared" si="14"/>
        <v>1642718.2145777</v>
      </c>
      <c r="L45" s="273">
        <f t="shared" si="14"/>
        <v>2713663.4588324605</v>
      </c>
      <c r="M45" s="273">
        <f t="shared" si="14"/>
        <v>2350344.4421606031</v>
      </c>
      <c r="N45" s="273">
        <f t="shared" si="14"/>
        <v>4804510.7173283147</v>
      </c>
      <c r="O45" s="273">
        <f t="shared" si="14"/>
        <v>4003543.7255982733</v>
      </c>
      <c r="P45" s="273">
        <f t="shared" si="14"/>
        <v>8324161.5612313971</v>
      </c>
      <c r="Q45" s="273">
        <f t="shared" si="14"/>
        <v>6895973.0760615608</v>
      </c>
      <c r="R45" s="271"/>
      <c r="S45" s="272"/>
    </row>
    <row r="46" spans="1:22" ht="15" customHeight="1" x14ac:dyDescent="0.3">
      <c r="L46" s="115"/>
      <c r="M46" s="115"/>
      <c r="N46" s="115"/>
      <c r="O46" s="115"/>
      <c r="P46" s="115"/>
      <c r="Q46" s="115"/>
      <c r="R46" s="115"/>
      <c r="S46" s="115"/>
    </row>
    <row r="47" spans="1:22" ht="15" customHeight="1" thickBot="1" x14ac:dyDescent="0.35">
      <c r="A47" s="70"/>
      <c r="B47" s="70"/>
      <c r="C47" s="70"/>
      <c r="I47" t="s">
        <v>192</v>
      </c>
      <c r="L47" s="115"/>
      <c r="M47" s="115"/>
      <c r="N47" s="115"/>
      <c r="O47" s="115"/>
      <c r="P47" s="115"/>
      <c r="Q47" s="115"/>
      <c r="R47" s="115"/>
      <c r="S47" s="115"/>
    </row>
    <row r="48" spans="1:22" ht="15" customHeight="1" x14ac:dyDescent="0.3">
      <c r="I48" s="101"/>
      <c r="J48" s="183" t="s">
        <v>98</v>
      </c>
      <c r="K48" s="185" t="s">
        <v>97</v>
      </c>
      <c r="L48" s="115"/>
      <c r="M48" s="115"/>
      <c r="N48" s="115"/>
      <c r="O48" s="115"/>
      <c r="P48" s="115"/>
      <c r="Q48" s="115"/>
      <c r="R48" s="115"/>
      <c r="S48" s="115"/>
    </row>
    <row r="49" spans="5:19" ht="15" customHeight="1" x14ac:dyDescent="0.3">
      <c r="I49" s="102" t="s">
        <v>186</v>
      </c>
      <c r="J49" s="184" t="s">
        <v>193</v>
      </c>
      <c r="K49" s="186" t="s">
        <v>194</v>
      </c>
      <c r="L49" s="115"/>
      <c r="M49" s="115"/>
      <c r="N49" s="56"/>
      <c r="O49" s="115"/>
      <c r="P49" s="115"/>
      <c r="Q49" s="115"/>
      <c r="R49" s="115"/>
      <c r="S49" s="115"/>
    </row>
    <row r="50" spans="5:19" ht="15" customHeight="1" x14ac:dyDescent="0.3">
      <c r="I50" s="2"/>
      <c r="J50" s="187"/>
      <c r="K50" s="3"/>
      <c r="L50" s="115"/>
      <c r="M50" s="115"/>
      <c r="N50" s="56"/>
      <c r="O50" s="115"/>
      <c r="P50" s="115"/>
      <c r="Q50" s="115"/>
      <c r="R50" s="115"/>
      <c r="S50" s="115"/>
    </row>
    <row r="51" spans="5:19" ht="15" customHeight="1" x14ac:dyDescent="0.3">
      <c r="I51" s="111" t="s">
        <v>160</v>
      </c>
      <c r="J51" s="188"/>
      <c r="K51" s="112"/>
      <c r="L51" s="115"/>
      <c r="M51" s="115"/>
      <c r="N51" s="56"/>
      <c r="O51" s="115"/>
      <c r="P51" s="115"/>
      <c r="Q51" s="115"/>
      <c r="R51" s="115"/>
      <c r="S51" s="115"/>
    </row>
    <row r="52" spans="5:19" ht="15" customHeight="1" x14ac:dyDescent="0.3">
      <c r="F52" s="56"/>
      <c r="G52" s="56"/>
      <c r="H52" s="56"/>
      <c r="I52" s="73" t="s">
        <v>159</v>
      </c>
      <c r="J52" s="189">
        <f>E29+ ((G29-E29)*(($J$11-$E$29)/($G$29-$E$29)))</f>
        <v>1500000</v>
      </c>
      <c r="K52" s="80">
        <f>F29+ ((H29-F29)*(($J$11-$E$29)/($G$29-$E$29)))</f>
        <v>1206775.3411467725</v>
      </c>
      <c r="L52" s="115">
        <f>J52/K52</f>
        <v>1.2429819775523276</v>
      </c>
      <c r="M52" s="56"/>
      <c r="N52" s="56"/>
      <c r="O52" s="115"/>
      <c r="P52" s="115"/>
      <c r="Q52" s="115"/>
      <c r="R52" s="115"/>
      <c r="S52" s="115"/>
    </row>
    <row r="53" spans="5:19" ht="15" customHeight="1" x14ac:dyDescent="0.3">
      <c r="I53" s="73" t="s">
        <v>158</v>
      </c>
      <c r="J53" s="189">
        <f t="shared" ref="J53:J66" si="15">E30+ ((G30-E30)*(($J$11-$E$29)/($G$29-$E$29)))</f>
        <v>703317.0198341147</v>
      </c>
      <c r="K53" s="80">
        <f t="shared" ref="K53:K66" si="16">F30+ ((H30-F30)*(($J$11-$E$29)/($G$29-$E$29)))</f>
        <v>2996551.4810674358</v>
      </c>
      <c r="L53" s="115">
        <f>J54/K54</f>
        <v>0.34298329393982224</v>
      </c>
      <c r="M53" s="56"/>
      <c r="N53" s="56"/>
      <c r="O53" s="115"/>
      <c r="P53" s="115"/>
      <c r="Q53" s="115"/>
      <c r="R53" s="115"/>
      <c r="S53" s="115"/>
    </row>
    <row r="54" spans="5:19" ht="15" customHeight="1" x14ac:dyDescent="0.3">
      <c r="F54" s="56"/>
      <c r="I54" s="73" t="s">
        <v>67</v>
      </c>
      <c r="J54" s="189">
        <f t="shared" si="15"/>
        <v>205406.20000000004</v>
      </c>
      <c r="K54" s="80">
        <f t="shared" si="16"/>
        <v>598881.06397403532</v>
      </c>
      <c r="M54" s="56"/>
      <c r="N54" s="56"/>
      <c r="O54" s="115"/>
      <c r="P54" s="115"/>
      <c r="Q54" s="115"/>
      <c r="R54" s="115"/>
      <c r="S54" s="115"/>
    </row>
    <row r="55" spans="5:19" ht="15" customHeight="1" x14ac:dyDescent="0.3">
      <c r="I55" s="111" t="s">
        <v>92</v>
      </c>
      <c r="J55" s="190"/>
      <c r="K55" s="133"/>
      <c r="L55" s="115"/>
      <c r="M55" s="56"/>
      <c r="N55" s="56"/>
      <c r="O55" s="115"/>
      <c r="P55" s="115"/>
      <c r="Q55" s="115"/>
      <c r="R55" s="115"/>
      <c r="S55" s="115"/>
    </row>
    <row r="56" spans="5:19" ht="15" customHeight="1" x14ac:dyDescent="0.3">
      <c r="I56" s="73" t="s">
        <v>59</v>
      </c>
      <c r="J56" s="189">
        <f t="shared" si="15"/>
        <v>447333.12657771364</v>
      </c>
      <c r="K56" s="80">
        <f t="shared" si="16"/>
        <v>352969.63577353046</v>
      </c>
      <c r="L56" s="115">
        <f t="shared" ref="L56:L68" si="17">J56/K56</f>
        <v>1.2673416669323021</v>
      </c>
      <c r="M56" s="56"/>
      <c r="N56" s="56"/>
      <c r="O56" s="115"/>
      <c r="P56" s="115"/>
      <c r="Q56" s="115"/>
      <c r="R56" s="115"/>
      <c r="S56" s="115"/>
    </row>
    <row r="57" spans="5:19" ht="15" customHeight="1" x14ac:dyDescent="0.3">
      <c r="F57" s="56"/>
      <c r="I57" s="73" t="s">
        <v>60</v>
      </c>
      <c r="J57" s="189">
        <f t="shared" si="15"/>
        <v>1858163.5412910206</v>
      </c>
      <c r="K57" s="80">
        <f t="shared" si="16"/>
        <v>1422880.6346916696</v>
      </c>
      <c r="L57" s="115">
        <f t="shared" si="17"/>
        <v>1.3059166707217675</v>
      </c>
      <c r="M57" s="56"/>
      <c r="N57" s="56"/>
      <c r="O57" s="115"/>
      <c r="P57" s="115"/>
      <c r="Q57" s="115"/>
      <c r="R57" s="115"/>
      <c r="S57" s="115"/>
    </row>
    <row r="58" spans="5:19" ht="15" customHeight="1" x14ac:dyDescent="0.3">
      <c r="G58" s="56"/>
      <c r="I58" s="73" t="s">
        <v>61</v>
      </c>
      <c r="J58" s="189">
        <f t="shared" si="15"/>
        <v>2385979.084024522</v>
      </c>
      <c r="K58" s="80">
        <f t="shared" si="16"/>
        <v>1854506.3108546701</v>
      </c>
      <c r="L58" s="115">
        <f t="shared" si="17"/>
        <v>1.2865845050292208</v>
      </c>
      <c r="M58" s="56"/>
      <c r="N58" s="56"/>
      <c r="O58" s="115"/>
      <c r="P58" s="115"/>
      <c r="Q58" s="115"/>
      <c r="R58" s="115"/>
      <c r="S58" s="115"/>
    </row>
    <row r="59" spans="5:19" ht="15" customHeight="1" x14ac:dyDescent="0.3">
      <c r="G59" s="56"/>
      <c r="I59" s="111" t="s">
        <v>93</v>
      </c>
      <c r="J59" s="190"/>
      <c r="K59" s="133"/>
      <c r="L59" s="115"/>
      <c r="M59" s="56"/>
      <c r="N59" s="56"/>
      <c r="O59" s="115"/>
      <c r="P59" s="115"/>
      <c r="Q59" s="115"/>
      <c r="R59" s="115"/>
      <c r="S59" s="115"/>
    </row>
    <row r="60" spans="5:19" ht="15" customHeight="1" x14ac:dyDescent="0.3">
      <c r="E60" s="54"/>
      <c r="G60" s="56"/>
      <c r="I60" s="73" t="s">
        <v>55</v>
      </c>
      <c r="J60" s="189">
        <f t="shared" si="15"/>
        <v>3089506.6714749373</v>
      </c>
      <c r="K60" s="80">
        <f t="shared" si="16"/>
        <v>2864324.2697439604</v>
      </c>
      <c r="L60" s="115">
        <f t="shared" si="17"/>
        <v>1.0786162391282275</v>
      </c>
      <c r="M60" s="56"/>
      <c r="N60" s="56"/>
      <c r="O60" s="115"/>
      <c r="P60" s="115"/>
      <c r="Q60" s="115"/>
      <c r="R60" s="115"/>
      <c r="S60" s="115"/>
    </row>
    <row r="61" spans="5:19" ht="15" customHeight="1" x14ac:dyDescent="0.3">
      <c r="G61" s="56"/>
      <c r="I61" s="73" t="s">
        <v>62</v>
      </c>
      <c r="J61" s="189">
        <f t="shared" si="15"/>
        <v>3374287.2701045806</v>
      </c>
      <c r="K61" s="80">
        <f t="shared" si="16"/>
        <v>2861036.0620266865</v>
      </c>
      <c r="L61" s="115">
        <f t="shared" si="17"/>
        <v>1.1793934773804702</v>
      </c>
      <c r="M61" s="56"/>
      <c r="N61" s="56"/>
      <c r="O61" s="115"/>
      <c r="P61" s="115"/>
      <c r="Q61" s="115"/>
      <c r="R61" s="115"/>
      <c r="S61" s="115"/>
    </row>
    <row r="62" spans="5:19" ht="15" customHeight="1" x14ac:dyDescent="0.3">
      <c r="G62" s="56"/>
      <c r="I62" s="73" t="s">
        <v>58</v>
      </c>
      <c r="J62" s="189">
        <f t="shared" si="15"/>
        <v>494946.82338724303</v>
      </c>
      <c r="K62" s="80">
        <f t="shared" si="16"/>
        <v>425557.33249711507</v>
      </c>
      <c r="L62" s="115">
        <f t="shared" si="17"/>
        <v>1.1630555640598634</v>
      </c>
      <c r="M62" s="56"/>
      <c r="N62" s="56"/>
      <c r="O62" s="115"/>
      <c r="P62" s="115"/>
      <c r="Q62" s="115"/>
      <c r="R62" s="115"/>
      <c r="S62" s="115"/>
    </row>
    <row r="63" spans="5:19" ht="15" customHeight="1" x14ac:dyDescent="0.3">
      <c r="G63" s="54"/>
      <c r="I63" s="109" t="s">
        <v>140</v>
      </c>
      <c r="J63" s="190"/>
      <c r="K63" s="133"/>
      <c r="L63" s="115"/>
      <c r="M63" s="56"/>
      <c r="N63" s="56"/>
      <c r="O63" s="115"/>
      <c r="P63" s="115"/>
      <c r="Q63" s="115"/>
      <c r="R63" s="115"/>
      <c r="S63" s="115"/>
    </row>
    <row r="64" spans="5:19" ht="15" customHeight="1" x14ac:dyDescent="0.3">
      <c r="G64" s="56"/>
      <c r="I64" s="73" t="s">
        <v>63</v>
      </c>
      <c r="J64" s="189">
        <f t="shared" si="15"/>
        <v>2290994.356495121</v>
      </c>
      <c r="K64" s="80">
        <f t="shared" si="16"/>
        <v>2014360.8717962652</v>
      </c>
      <c r="L64" s="115">
        <f t="shared" si="17"/>
        <v>1.1373306484315164</v>
      </c>
      <c r="M64" s="56"/>
      <c r="N64" s="56"/>
      <c r="O64" s="115"/>
      <c r="P64" s="115"/>
      <c r="Q64" s="115"/>
      <c r="R64" s="115"/>
      <c r="S64" s="115"/>
    </row>
    <row r="65" spans="6:19" ht="15" customHeight="1" x14ac:dyDescent="0.3">
      <c r="G65" s="53"/>
      <c r="I65" s="73" t="s">
        <v>64</v>
      </c>
      <c r="J65" s="189">
        <f t="shared" si="15"/>
        <v>1656025.9646592138</v>
      </c>
      <c r="K65" s="80">
        <f t="shared" si="16"/>
        <v>1438930.5805986295</v>
      </c>
      <c r="L65" s="115">
        <f t="shared" si="17"/>
        <v>1.1508727293642389</v>
      </c>
      <c r="M65" s="56"/>
      <c r="N65" s="56"/>
      <c r="O65" s="115"/>
      <c r="P65" s="115"/>
      <c r="Q65" s="115"/>
      <c r="R65" s="115"/>
      <c r="S65" s="115"/>
    </row>
    <row r="66" spans="6:19" ht="15" customHeight="1" x14ac:dyDescent="0.3">
      <c r="G66" s="56"/>
      <c r="I66" s="2" t="s">
        <v>57</v>
      </c>
      <c r="J66" s="189">
        <f t="shared" si="15"/>
        <v>2110018.3359426446</v>
      </c>
      <c r="K66" s="80">
        <f t="shared" si="16"/>
        <v>1482828.610601773</v>
      </c>
      <c r="L66" s="115">
        <f t="shared" si="17"/>
        <v>1.4229684542479528</v>
      </c>
      <c r="M66" s="56"/>
      <c r="N66" s="56"/>
      <c r="O66" s="115"/>
      <c r="P66" s="115"/>
      <c r="Q66" s="115"/>
      <c r="R66" s="115"/>
      <c r="S66" s="115"/>
    </row>
    <row r="67" spans="6:19" ht="15" customHeight="1" thickBot="1" x14ac:dyDescent="0.35">
      <c r="I67" s="113"/>
      <c r="J67" s="191"/>
      <c r="K67" s="192"/>
      <c r="L67" s="115"/>
      <c r="M67" s="115"/>
      <c r="N67" s="115"/>
      <c r="O67" s="115"/>
      <c r="P67" s="115"/>
      <c r="Q67" s="115"/>
      <c r="R67" s="115"/>
      <c r="S67" s="115"/>
    </row>
    <row r="68" spans="6:19" ht="15" customHeight="1" x14ac:dyDescent="0.3">
      <c r="G68" s="54"/>
      <c r="I68" s="193"/>
      <c r="J68" s="194">
        <f>SUM(J56:J66)/3</f>
        <v>5902418.3913189992</v>
      </c>
      <c r="K68" s="194">
        <f>SUM(K56:K66)/3</f>
        <v>4905798.1028614333</v>
      </c>
      <c r="L68" s="115">
        <f t="shared" si="17"/>
        <v>1.2031515092062719</v>
      </c>
      <c r="M68" s="195"/>
      <c r="N68" s="115"/>
      <c r="O68" s="115"/>
      <c r="P68" s="115"/>
      <c r="Q68" s="115"/>
      <c r="R68" s="115"/>
      <c r="S68" s="115"/>
    </row>
    <row r="69" spans="6:19" ht="15" customHeight="1" x14ac:dyDescent="0.3">
      <c r="L69" s="115"/>
      <c r="M69" s="115"/>
      <c r="N69" s="115"/>
      <c r="O69" s="115"/>
      <c r="P69" s="115"/>
      <c r="Q69" s="115"/>
      <c r="R69" s="115"/>
      <c r="S69" s="115"/>
    </row>
    <row r="70" spans="6:19" ht="15" customHeight="1" x14ac:dyDescent="0.3">
      <c r="L70" s="115"/>
      <c r="M70" s="115"/>
      <c r="N70" s="115"/>
      <c r="O70" s="115"/>
      <c r="P70" s="115"/>
      <c r="Q70" s="115"/>
      <c r="R70" s="115"/>
      <c r="S70" s="115"/>
    </row>
    <row r="71" spans="6:19" ht="15" thickBot="1" x14ac:dyDescent="0.35">
      <c r="L71" s="15"/>
      <c r="Q71" s="115"/>
      <c r="R71" s="115"/>
      <c r="S71" s="115"/>
    </row>
    <row r="72" spans="6:19" x14ac:dyDescent="0.3">
      <c r="F72" s="56">
        <f>E30</f>
        <v>616482</v>
      </c>
      <c r="I72" s="9" t="s">
        <v>66</v>
      </c>
      <c r="J72" s="140"/>
      <c r="K72" s="140"/>
      <c r="L72" s="16" t="s">
        <v>49</v>
      </c>
      <c r="M72" s="134" t="s">
        <v>50</v>
      </c>
      <c r="N72" s="134" t="s">
        <v>51</v>
      </c>
      <c r="O72" s="134" t="s">
        <v>52</v>
      </c>
      <c r="P72" s="135" t="s">
        <v>53</v>
      </c>
      <c r="Q72" s="115"/>
      <c r="R72" s="115"/>
      <c r="S72" s="115"/>
    </row>
    <row r="73" spans="6:19" x14ac:dyDescent="0.3">
      <c r="F73" s="56">
        <f>G30-E30</f>
        <v>278374</v>
      </c>
      <c r="I73" s="13" t="s">
        <v>159</v>
      </c>
      <c r="J73" s="43"/>
      <c r="K73" s="43"/>
      <c r="L73" s="21">
        <f>J52</f>
        <v>1500000</v>
      </c>
      <c r="M73" s="21">
        <v>0</v>
      </c>
      <c r="N73" s="21">
        <v>0</v>
      </c>
      <c r="O73" s="21">
        <v>0</v>
      </c>
      <c r="P73" s="27">
        <f>SUM(L73:O73)</f>
        <v>1500000</v>
      </c>
      <c r="Q73" s="115"/>
      <c r="R73" s="115"/>
      <c r="S73" s="115"/>
    </row>
    <row r="74" spans="6:19" x14ac:dyDescent="0.3">
      <c r="F74" s="25">
        <f>J11/G29</f>
        <v>0.73737612081170367</v>
      </c>
      <c r="I74" s="13" t="s">
        <v>158</v>
      </c>
      <c r="J74" s="43"/>
      <c r="K74" s="43"/>
      <c r="L74" s="21">
        <f>J53</f>
        <v>703317.0198341147</v>
      </c>
      <c r="M74" s="21">
        <v>0</v>
      </c>
      <c r="N74" s="21">
        <v>0</v>
      </c>
      <c r="O74" s="21">
        <v>0</v>
      </c>
      <c r="P74" s="27">
        <f>SUM(L74:O74)</f>
        <v>703317.0198341147</v>
      </c>
      <c r="Q74" s="115"/>
      <c r="R74" s="115"/>
      <c r="S74" s="115"/>
    </row>
    <row r="75" spans="6:19" ht="15" thickBot="1" x14ac:dyDescent="0.35">
      <c r="F75" s="56">
        <f>F73*F74</f>
        <v>205266.34025483721</v>
      </c>
      <c r="I75" s="13" t="s">
        <v>67</v>
      </c>
      <c r="J75" s="43"/>
      <c r="K75" s="43"/>
      <c r="L75" s="21">
        <f>J54</f>
        <v>205406.20000000004</v>
      </c>
      <c r="M75" s="26">
        <f>L75</f>
        <v>205406.20000000004</v>
      </c>
      <c r="N75" s="26">
        <f>M75</f>
        <v>205406.20000000004</v>
      </c>
      <c r="O75" s="26"/>
      <c r="P75" s="27">
        <f>SUM(L75:O75)</f>
        <v>616218.60000000009</v>
      </c>
      <c r="Q75" s="115"/>
      <c r="R75" s="115"/>
      <c r="S75" s="115"/>
    </row>
    <row r="76" spans="6:19" ht="15" thickTop="1" x14ac:dyDescent="0.3">
      <c r="F76" s="56">
        <f>F72+F75</f>
        <v>821748.34025483718</v>
      </c>
      <c r="I76" s="45" t="s">
        <v>66</v>
      </c>
      <c r="J76" s="141"/>
      <c r="K76" s="141"/>
      <c r="L76" s="46">
        <f>SUM(L73:L75)</f>
        <v>2408723.2198341149</v>
      </c>
      <c r="M76" s="46">
        <f>SUM(M73:M75)</f>
        <v>205406.20000000004</v>
      </c>
      <c r="N76" s="46">
        <f>SUM(N73:N75)</f>
        <v>205406.20000000004</v>
      </c>
      <c r="O76" s="46">
        <f>SUM(O73:O75)</f>
        <v>0</v>
      </c>
      <c r="P76" s="47">
        <f>SUM(P73:P75)</f>
        <v>2819535.6198341148</v>
      </c>
      <c r="Q76" s="115"/>
      <c r="R76" s="115"/>
      <c r="S76" s="115"/>
    </row>
    <row r="77" spans="6:19" ht="15" thickBot="1" x14ac:dyDescent="0.35">
      <c r="I77" s="22" t="s">
        <v>54</v>
      </c>
      <c r="J77" s="142"/>
      <c r="K77" s="142"/>
      <c r="L77" s="42">
        <v>0</v>
      </c>
      <c r="M77" s="42">
        <v>0</v>
      </c>
      <c r="N77" s="42">
        <v>0</v>
      </c>
      <c r="O77" s="42">
        <v>0</v>
      </c>
      <c r="P77" s="48">
        <v>0</v>
      </c>
      <c r="Q77" s="115"/>
      <c r="R77" s="115"/>
      <c r="S77" s="115"/>
    </row>
    <row r="78" spans="6:19" ht="15.6" thickTop="1" thickBot="1" x14ac:dyDescent="0.35">
      <c r="I78" s="44" t="s">
        <v>74</v>
      </c>
      <c r="J78" s="143"/>
      <c r="K78" s="143"/>
      <c r="L78" s="49">
        <f>L76*(1+L77)</f>
        <v>2408723.2198341149</v>
      </c>
      <c r="M78" s="49">
        <f t="shared" ref="M78:P78" si="18">M76*(1+M77)</f>
        <v>205406.20000000004</v>
      </c>
      <c r="N78" s="49">
        <f t="shared" si="18"/>
        <v>205406.20000000004</v>
      </c>
      <c r="O78" s="49">
        <f t="shared" si="18"/>
        <v>0</v>
      </c>
      <c r="P78" s="50">
        <f t="shared" si="18"/>
        <v>2819535.6198341148</v>
      </c>
      <c r="Q78" s="115"/>
      <c r="R78" s="115"/>
      <c r="S78" s="115"/>
    </row>
    <row r="79" spans="6:19" x14ac:dyDescent="0.3">
      <c r="I79" s="43"/>
      <c r="J79" s="43"/>
      <c r="K79" s="43"/>
      <c r="L79" s="26"/>
      <c r="M79" s="20"/>
      <c r="N79" s="14"/>
      <c r="O79" s="14"/>
      <c r="P79" s="14"/>
      <c r="Q79" s="115"/>
      <c r="R79" s="115"/>
      <c r="S79" s="115"/>
    </row>
    <row r="80" spans="6:19" ht="15" thickBot="1" x14ac:dyDescent="0.35">
      <c r="L80" s="15"/>
      <c r="Q80" s="115"/>
      <c r="R80" s="115"/>
      <c r="S80" s="115"/>
    </row>
    <row r="81" spans="5:22" ht="15" thickBot="1" x14ac:dyDescent="0.35">
      <c r="I81" s="29" t="s">
        <v>68</v>
      </c>
      <c r="J81" s="206"/>
      <c r="K81" s="206"/>
      <c r="L81" s="206" t="s">
        <v>49</v>
      </c>
      <c r="M81" s="206" t="s">
        <v>50</v>
      </c>
      <c r="N81" s="206" t="s">
        <v>51</v>
      </c>
      <c r="O81" s="206" t="s">
        <v>52</v>
      </c>
      <c r="P81" s="207" t="s">
        <v>53</v>
      </c>
      <c r="Q81" s="115"/>
      <c r="R81" s="115"/>
      <c r="S81" s="115"/>
      <c r="V81">
        <f>L84/M84</f>
        <v>-0.42280464547793711</v>
      </c>
    </row>
    <row r="82" spans="5:22" ht="15" thickBot="1" x14ac:dyDescent="0.35">
      <c r="I82" s="28" t="s">
        <v>65</v>
      </c>
      <c r="J82" s="72"/>
      <c r="K82" s="72"/>
      <c r="L82" s="37"/>
      <c r="M82" s="155">
        <f>J68</f>
        <v>5902418.3913189992</v>
      </c>
      <c r="N82" s="38">
        <f>M82</f>
        <v>5902418.3913189992</v>
      </c>
      <c r="O82" s="38">
        <f>N82</f>
        <v>5902418.3913189992</v>
      </c>
      <c r="P82" s="74">
        <f>SUM(L82:O82)</f>
        <v>17707255.173956998</v>
      </c>
      <c r="Q82" s="115"/>
      <c r="R82" s="115"/>
      <c r="S82" s="115"/>
      <c r="U82" s="77"/>
    </row>
    <row r="83" spans="5:22" ht="15" thickBot="1" x14ac:dyDescent="0.35">
      <c r="G83" s="157">
        <f>F33</f>
        <v>280800</v>
      </c>
      <c r="I83" s="7" t="s">
        <v>69</v>
      </c>
      <c r="J83" s="93"/>
      <c r="K83" s="93"/>
      <c r="L83" s="30">
        <f>L76</f>
        <v>2408723.2198341149</v>
      </c>
      <c r="M83" s="30">
        <f t="shared" ref="M83:O83" si="19">M76</f>
        <v>205406.20000000004</v>
      </c>
      <c r="N83" s="30">
        <f t="shared" si="19"/>
        <v>205406.20000000004</v>
      </c>
      <c r="O83" s="30">
        <f t="shared" si="19"/>
        <v>0</v>
      </c>
      <c r="P83" s="96">
        <f>SUM(L83:O83)</f>
        <v>2819535.6198341153</v>
      </c>
      <c r="Q83" s="115"/>
      <c r="R83" s="115"/>
      <c r="S83" s="115"/>
      <c r="U83" s="107"/>
    </row>
    <row r="84" spans="5:22" ht="15" thickTop="1" x14ac:dyDescent="0.3">
      <c r="G84" s="158">
        <f>H33-F33</f>
        <v>231360</v>
      </c>
      <c r="I84" s="2" t="s">
        <v>70</v>
      </c>
      <c r="J84" s="1"/>
      <c r="K84" s="1"/>
      <c r="L84" s="19">
        <f>L82-L83</f>
        <v>-2408723.2198341149</v>
      </c>
      <c r="M84" s="19">
        <f t="shared" ref="M84:P84" si="20">M82-M83</f>
        <v>5697012.191318999</v>
      </c>
      <c r="N84" s="19">
        <f t="shared" si="20"/>
        <v>5697012.191318999</v>
      </c>
      <c r="O84" s="19">
        <f t="shared" si="20"/>
        <v>5902418.3913189992</v>
      </c>
      <c r="P84" s="39">
        <f t="shared" si="20"/>
        <v>14887719.554122882</v>
      </c>
      <c r="Q84" s="115"/>
      <c r="R84" s="115"/>
      <c r="S84" s="115"/>
      <c r="U84" s="107">
        <f>L84/M83</f>
        <v>-11.726633469847135</v>
      </c>
    </row>
    <row r="85" spans="5:22" x14ac:dyDescent="0.3">
      <c r="G85" s="158">
        <f>J11-E29</f>
        <v>242200</v>
      </c>
      <c r="I85" s="2"/>
      <c r="J85" s="1"/>
      <c r="K85" s="1"/>
      <c r="L85" s="19"/>
      <c r="M85" s="19"/>
      <c r="N85" s="19"/>
      <c r="O85" s="19"/>
      <c r="P85" s="39"/>
      <c r="Q85" s="115"/>
      <c r="R85" s="115"/>
      <c r="S85" s="115"/>
    </row>
    <row r="86" spans="5:22" x14ac:dyDescent="0.3">
      <c r="G86" s="158">
        <f>G29-E29</f>
        <v>776440</v>
      </c>
      <c r="I86" s="2" t="s">
        <v>151</v>
      </c>
      <c r="J86" s="1"/>
      <c r="K86" s="1"/>
      <c r="L86" s="75">
        <v>0</v>
      </c>
      <c r="M86" s="75">
        <v>1</v>
      </c>
      <c r="N86" s="75">
        <v>2</v>
      </c>
      <c r="O86" s="75">
        <v>3</v>
      </c>
      <c r="P86" s="76"/>
      <c r="Q86" s="115"/>
      <c r="R86" s="115"/>
      <c r="S86" s="115"/>
    </row>
    <row r="87" spans="5:22" x14ac:dyDescent="0.3">
      <c r="G87" s="159">
        <f>G85/G86</f>
        <v>0.3119365308330328</v>
      </c>
      <c r="I87" s="2" t="s">
        <v>152</v>
      </c>
      <c r="J87" s="1"/>
      <c r="K87" s="1"/>
      <c r="L87" s="19">
        <f>L82</f>
        <v>0</v>
      </c>
      <c r="M87" s="19">
        <f>M82</f>
        <v>5902418.3913189992</v>
      </c>
      <c r="N87" s="19">
        <f>M87</f>
        <v>5902418.3913189992</v>
      </c>
      <c r="O87" s="19">
        <f>N87</f>
        <v>5902418.3913189992</v>
      </c>
      <c r="P87" s="39">
        <f t="shared" ref="P87" si="21">P82</f>
        <v>17707255.173956998</v>
      </c>
      <c r="Q87" s="115"/>
      <c r="R87" s="115"/>
      <c r="S87" s="115"/>
    </row>
    <row r="88" spans="5:22" x14ac:dyDescent="0.3">
      <c r="G88" s="160"/>
      <c r="I88" s="2" t="s">
        <v>153</v>
      </c>
      <c r="J88" s="1"/>
      <c r="K88" s="1"/>
      <c r="L88" s="19">
        <f>L84</f>
        <v>-2408723.2198341149</v>
      </c>
      <c r="M88" s="19">
        <f>$L$88+SUM($M$87:M87)</f>
        <v>3493695.1714848843</v>
      </c>
      <c r="N88" s="19">
        <f>$L$88+SUM($M$87:N87)</f>
        <v>9396113.5628038831</v>
      </c>
      <c r="O88" s="19">
        <f>$L$88+SUM($M$87:O87)</f>
        <v>15298531.954122882</v>
      </c>
      <c r="P88" s="39"/>
      <c r="Q88" s="115"/>
      <c r="R88" s="115" t="s">
        <v>258</v>
      </c>
      <c r="S88" s="115"/>
      <c r="V88" s="53">
        <f>M82/12</f>
        <v>491868.19927658327</v>
      </c>
    </row>
    <row r="89" spans="5:22" ht="15.6" customHeight="1" thickBot="1" x14ac:dyDescent="0.35">
      <c r="G89" s="161">
        <f>G83+G84*G87</f>
        <v>352969.63577353046</v>
      </c>
      <c r="I89" s="2"/>
      <c r="J89" s="1"/>
      <c r="K89" s="1"/>
      <c r="L89" s="19"/>
      <c r="M89" s="19"/>
      <c r="N89" s="19"/>
      <c r="O89" s="19"/>
      <c r="P89" s="39"/>
      <c r="Q89" s="68"/>
      <c r="R89" s="68" t="e">
        <f>E93Foru</f>
        <v>#NAME?</v>
      </c>
      <c r="S89" s="115"/>
      <c r="V89" s="106">
        <f>L84/V88</f>
        <v>-4.8970907722368562</v>
      </c>
    </row>
    <row r="90" spans="5:22" ht="15" thickBot="1" x14ac:dyDescent="0.35">
      <c r="I90" s="2"/>
      <c r="J90" s="1"/>
      <c r="K90" s="1"/>
      <c r="L90" s="19"/>
      <c r="M90" s="19"/>
      <c r="N90" s="19"/>
      <c r="O90" s="19"/>
      <c r="P90" s="39"/>
      <c r="Q90" s="115"/>
      <c r="R90" s="115"/>
      <c r="S90" s="115"/>
    </row>
    <row r="91" spans="5:22" ht="13.95" customHeight="1" x14ac:dyDescent="0.3">
      <c r="I91" s="31" t="s">
        <v>71</v>
      </c>
      <c r="J91" s="144"/>
      <c r="K91" s="144"/>
      <c r="L91" s="32">
        <f>(P82-P83)/P83</f>
        <v>5.280202686355417</v>
      </c>
      <c r="M91" s="169">
        <f>IF(J11&lt;L19,(J16+(L16-J16)*((J11-J19)/(L19-J19))),IF(J11&gt;P19,(P16+(R16-P16)*((J11-P19)/(R19-P19))),L91))</f>
        <v>5.280202686355417</v>
      </c>
      <c r="N91" s="152"/>
      <c r="O91" s="19"/>
      <c r="P91" s="39"/>
      <c r="Q91" s="115"/>
      <c r="R91" s="115"/>
      <c r="S91" s="115"/>
    </row>
    <row r="92" spans="5:22" ht="15" thickBot="1" x14ac:dyDescent="0.35">
      <c r="I92" s="33" t="s">
        <v>72</v>
      </c>
      <c r="J92" s="145"/>
      <c r="K92" s="145"/>
      <c r="L92" s="34">
        <f>NPV(8%,L84:P84)</f>
        <v>21647227.880681265</v>
      </c>
      <c r="M92" s="166"/>
      <c r="N92" s="19"/>
      <c r="O92" s="19"/>
      <c r="P92" s="39"/>
      <c r="Q92" s="115"/>
      <c r="R92" s="115"/>
      <c r="S92" s="115"/>
    </row>
    <row r="93" spans="5:22" ht="15" thickBot="1" x14ac:dyDescent="0.35">
      <c r="F93" s="305" t="s">
        <v>259</v>
      </c>
      <c r="G93" s="305"/>
      <c r="I93" s="33" t="s">
        <v>191</v>
      </c>
      <c r="J93" s="145"/>
      <c r="K93" s="145"/>
      <c r="L93" s="307">
        <f>IF(L88&lt;0,L86+(-(L88/M87)), IF(M88&lt;0, M86+(-(M88/N87)),IF(N88&lt;0, N86+(-(N88/S91)), 3)))</f>
        <v>0.40809089768640466</v>
      </c>
      <c r="M93" s="168">
        <f>L93*12</f>
        <v>4.8970907722368562</v>
      </c>
      <c r="N93" s="151"/>
      <c r="O93" s="19"/>
      <c r="P93" s="39"/>
      <c r="Q93" s="115"/>
      <c r="R93" s="68"/>
      <c r="S93" s="115"/>
    </row>
    <row r="94" spans="5:22" ht="15" thickBot="1" x14ac:dyDescent="0.35">
      <c r="E94" s="68"/>
      <c r="I94" s="35" t="s">
        <v>73</v>
      </c>
      <c r="J94" s="146"/>
      <c r="K94" s="146"/>
      <c r="L94" s="36">
        <f>P83</f>
        <v>2819535.6198341153</v>
      </c>
      <c r="M94" s="167"/>
      <c r="N94" s="19"/>
      <c r="O94" s="19"/>
      <c r="P94" s="39"/>
      <c r="Q94" s="115"/>
      <c r="R94" s="68"/>
      <c r="S94" s="115"/>
    </row>
    <row r="95" spans="5:22" ht="15" thickBot="1" x14ac:dyDescent="0.35">
      <c r="I95" s="10"/>
      <c r="J95" s="5"/>
      <c r="K95" s="5"/>
      <c r="L95" s="18"/>
      <c r="M95" s="5"/>
      <c r="N95" s="153"/>
      <c r="O95" s="5"/>
      <c r="P95" s="11"/>
      <c r="Q95" s="115"/>
      <c r="R95" s="68"/>
      <c r="S95" s="115"/>
    </row>
    <row r="96" spans="5:22" x14ac:dyDescent="0.3">
      <c r="I96" s="1"/>
      <c r="J96" s="1"/>
      <c r="K96" s="1"/>
      <c r="L96" s="17"/>
      <c r="M96" s="1"/>
      <c r="N96" s="1"/>
      <c r="O96" s="1"/>
      <c r="P96" s="1"/>
      <c r="Q96" s="115"/>
      <c r="R96" s="68"/>
      <c r="S96" s="115"/>
    </row>
    <row r="97" spans="9:25" x14ac:dyDescent="0.3">
      <c r="I97" s="1"/>
      <c r="J97" s="1"/>
      <c r="K97" s="1"/>
      <c r="L97" s="17"/>
      <c r="M97" s="1"/>
      <c r="N97" s="1"/>
      <c r="O97" s="1"/>
      <c r="P97" s="1"/>
      <c r="Q97" s="115"/>
      <c r="R97" s="115"/>
      <c r="S97" s="115"/>
    </row>
    <row r="98" spans="9:25" ht="15" thickBot="1" x14ac:dyDescent="0.35">
      <c r="L98" s="15"/>
      <c r="Q98" s="115"/>
      <c r="R98" s="115"/>
      <c r="S98" s="115"/>
    </row>
    <row r="99" spans="9:25" x14ac:dyDescent="0.3">
      <c r="I99" s="9" t="s">
        <v>66</v>
      </c>
      <c r="J99" s="140"/>
      <c r="K99" s="140"/>
      <c r="L99" s="16" t="s">
        <v>49</v>
      </c>
      <c r="M99" s="134" t="s">
        <v>50</v>
      </c>
      <c r="N99" s="134" t="s">
        <v>51</v>
      </c>
      <c r="O99" s="134" t="s">
        <v>52</v>
      </c>
      <c r="P99" s="135" t="s">
        <v>53</v>
      </c>
      <c r="Q99" s="115"/>
      <c r="R99" s="115"/>
      <c r="S99" s="115"/>
    </row>
    <row r="100" spans="9:25" x14ac:dyDescent="0.3">
      <c r="I100" s="13" t="s">
        <v>159</v>
      </c>
      <c r="J100" s="43"/>
      <c r="K100" s="43"/>
      <c r="L100" s="21">
        <f>K52</f>
        <v>1206775.3411467725</v>
      </c>
      <c r="M100" s="21">
        <f>M85</f>
        <v>0</v>
      </c>
      <c r="N100" s="21">
        <f>N85</f>
        <v>0</v>
      </c>
      <c r="O100" s="21">
        <f>O85</f>
        <v>0</v>
      </c>
      <c r="P100" s="27">
        <f>SUM(L100:O100)</f>
        <v>1206775.3411467725</v>
      </c>
      <c r="Q100" s="115"/>
      <c r="R100" s="115"/>
      <c r="S100" s="115"/>
    </row>
    <row r="101" spans="9:25" x14ac:dyDescent="0.3">
      <c r="I101" s="13" t="s">
        <v>158</v>
      </c>
      <c r="J101" s="43"/>
      <c r="K101" s="43"/>
      <c r="L101" s="21">
        <f t="shared" ref="L101:L102" si="22">K53</f>
        <v>2996551.4810674358</v>
      </c>
      <c r="M101" s="21">
        <v>0</v>
      </c>
      <c r="N101" s="21">
        <v>0</v>
      </c>
      <c r="O101" s="21"/>
      <c r="P101" s="27">
        <f>SUM(L101:O101)</f>
        <v>2996551.4810674358</v>
      </c>
      <c r="Q101" s="115"/>
      <c r="R101" s="115"/>
      <c r="S101" s="115"/>
    </row>
    <row r="102" spans="9:25" ht="15" thickBot="1" x14ac:dyDescent="0.35">
      <c r="I102" s="13" t="s">
        <v>67</v>
      </c>
      <c r="J102" s="43"/>
      <c r="K102" s="43"/>
      <c r="L102" s="21">
        <f t="shared" si="22"/>
        <v>598881.06397403532</v>
      </c>
      <c r="M102" s="26">
        <f>L102</f>
        <v>598881.06397403532</v>
      </c>
      <c r="N102" s="26">
        <f>M102</f>
        <v>598881.06397403532</v>
      </c>
      <c r="O102" s="26"/>
      <c r="P102" s="27">
        <f>SUM(L102:O102)</f>
        <v>1796643.1919221058</v>
      </c>
      <c r="Q102" s="115"/>
      <c r="R102" s="115"/>
      <c r="S102" s="115"/>
    </row>
    <row r="103" spans="9:25" ht="15" thickTop="1" x14ac:dyDescent="0.3">
      <c r="I103" s="45" t="s">
        <v>66</v>
      </c>
      <c r="J103" s="141"/>
      <c r="K103" s="141"/>
      <c r="L103" s="46">
        <f>SUM(L100:L102)</f>
        <v>4802207.8861882435</v>
      </c>
      <c r="M103" s="46">
        <f>SUM(M100:M102)</f>
        <v>598881.06397403532</v>
      </c>
      <c r="N103" s="46">
        <f>SUM(N100:N102)</f>
        <v>598881.06397403532</v>
      </c>
      <c r="O103" s="46">
        <f>SUM(O100:O102)</f>
        <v>0</v>
      </c>
      <c r="P103" s="47">
        <f>SUM(P100:P102)</f>
        <v>5999970.0141363144</v>
      </c>
      <c r="Q103" s="115"/>
      <c r="R103" s="115"/>
      <c r="S103" s="115"/>
    </row>
    <row r="104" spans="9:25" ht="15" thickBot="1" x14ac:dyDescent="0.35">
      <c r="I104" s="22" t="s">
        <v>54</v>
      </c>
      <c r="J104" s="142"/>
      <c r="K104" s="142"/>
      <c r="L104" s="42">
        <v>0</v>
      </c>
      <c r="M104" s="42">
        <v>0</v>
      </c>
      <c r="N104" s="42">
        <v>0</v>
      </c>
      <c r="O104" s="42">
        <v>0</v>
      </c>
      <c r="P104" s="48">
        <v>0</v>
      </c>
      <c r="Q104" s="115"/>
      <c r="R104" s="115"/>
      <c r="S104" s="115"/>
    </row>
    <row r="105" spans="9:25" ht="15.6" thickTop="1" thickBot="1" x14ac:dyDescent="0.35">
      <c r="I105" s="44" t="s">
        <v>74</v>
      </c>
      <c r="J105" s="143"/>
      <c r="K105" s="143"/>
      <c r="L105" s="49">
        <f>L103*(1+L104)</f>
        <v>4802207.8861882435</v>
      </c>
      <c r="M105" s="49">
        <f t="shared" ref="M105:P105" si="23">M103*(1+M104)</f>
        <v>598881.06397403532</v>
      </c>
      <c r="N105" s="49">
        <f t="shared" si="23"/>
        <v>598881.06397403532</v>
      </c>
      <c r="O105" s="49">
        <f t="shared" si="23"/>
        <v>0</v>
      </c>
      <c r="P105" s="50">
        <f t="shared" si="23"/>
        <v>5999970.0141363144</v>
      </c>
      <c r="Q105" s="115"/>
      <c r="R105" s="115"/>
      <c r="S105" s="115"/>
    </row>
    <row r="106" spans="9:25" x14ac:dyDescent="0.3">
      <c r="I106" s="43"/>
      <c r="J106" s="43"/>
      <c r="K106" s="43"/>
      <c r="L106" s="26"/>
      <c r="M106" s="20"/>
      <c r="N106" s="14"/>
      <c r="O106" s="14"/>
      <c r="P106" s="14"/>
      <c r="Q106" s="115"/>
      <c r="R106" s="115"/>
      <c r="S106" s="115"/>
    </row>
    <row r="107" spans="9:25" ht="15" thickBot="1" x14ac:dyDescent="0.35">
      <c r="L107" s="15"/>
      <c r="Q107" s="115"/>
      <c r="R107" s="115"/>
      <c r="S107" s="115"/>
    </row>
    <row r="108" spans="9:25" ht="15" thickBot="1" x14ac:dyDescent="0.35">
      <c r="I108" s="29" t="s">
        <v>68</v>
      </c>
      <c r="J108" s="134"/>
      <c r="K108" s="134"/>
      <c r="L108" s="134" t="s">
        <v>49</v>
      </c>
      <c r="M108" s="134" t="s">
        <v>50</v>
      </c>
      <c r="N108" s="134" t="s">
        <v>51</v>
      </c>
      <c r="O108" s="134" t="s">
        <v>52</v>
      </c>
      <c r="P108" s="135" t="s">
        <v>53</v>
      </c>
      <c r="Q108" s="115"/>
      <c r="R108" s="115"/>
      <c r="S108" s="115"/>
      <c r="V108">
        <f>L111/M111</f>
        <v>-1.11499892912467</v>
      </c>
    </row>
    <row r="109" spans="9:25" x14ac:dyDescent="0.3">
      <c r="I109" s="28" t="s">
        <v>65</v>
      </c>
      <c r="J109" s="72"/>
      <c r="K109" s="72"/>
      <c r="L109" s="37"/>
      <c r="M109" s="155">
        <f>K68</f>
        <v>4905798.1028614333</v>
      </c>
      <c r="N109" s="38">
        <f>M109</f>
        <v>4905798.1028614333</v>
      </c>
      <c r="O109" s="38">
        <f>N109</f>
        <v>4905798.1028614333</v>
      </c>
      <c r="P109" s="4">
        <f>SUM(L109:O109)</f>
        <v>14717394.308584299</v>
      </c>
      <c r="Q109" s="115"/>
      <c r="R109" s="115"/>
      <c r="S109" s="115"/>
      <c r="U109" s="77"/>
    </row>
    <row r="110" spans="9:25" ht="15" thickBot="1" x14ac:dyDescent="0.35">
      <c r="I110" s="7" t="s">
        <v>69</v>
      </c>
      <c r="J110" s="93"/>
      <c r="K110" s="93"/>
      <c r="L110" s="30">
        <f>L103</f>
        <v>4802207.8861882435</v>
      </c>
      <c r="M110" s="30">
        <f t="shared" ref="M110:O110" si="24">M103</f>
        <v>598881.06397403532</v>
      </c>
      <c r="N110" s="30">
        <f t="shared" si="24"/>
        <v>598881.06397403532</v>
      </c>
      <c r="O110" s="30">
        <f t="shared" si="24"/>
        <v>0</v>
      </c>
      <c r="P110" s="96">
        <f>SUM(L110:O110)</f>
        <v>5999970.0141363135</v>
      </c>
      <c r="Q110" s="115"/>
      <c r="R110" s="115"/>
      <c r="S110" s="115"/>
      <c r="T110" t="s">
        <v>65</v>
      </c>
      <c r="U110" s="107"/>
      <c r="V110">
        <v>4003543.7255982729</v>
      </c>
      <c r="W110">
        <v>4003543.7255982729</v>
      </c>
      <c r="X110">
        <v>4003543.7255982729</v>
      </c>
      <c r="Y110">
        <v>12010631.17679482</v>
      </c>
    </row>
    <row r="111" spans="9:25" ht="15" thickTop="1" x14ac:dyDescent="0.3">
      <c r="I111" s="2" t="s">
        <v>70</v>
      </c>
      <c r="J111" s="1"/>
      <c r="K111" s="1"/>
      <c r="L111" s="19">
        <f>L109-L110</f>
        <v>-4802207.8861882435</v>
      </c>
      <c r="M111" s="19">
        <f t="shared" ref="M111:P111" si="25">M109-M110</f>
        <v>4306917.0388873983</v>
      </c>
      <c r="N111" s="19">
        <f t="shared" si="25"/>
        <v>4306917.0388873983</v>
      </c>
      <c r="O111" s="19">
        <f t="shared" si="25"/>
        <v>4905798.1028614333</v>
      </c>
      <c r="P111" s="39">
        <f t="shared" si="25"/>
        <v>8717424.2944479845</v>
      </c>
      <c r="Q111" s="115"/>
      <c r="R111" s="115"/>
      <c r="S111" s="115"/>
      <c r="T111" t="s">
        <v>69</v>
      </c>
      <c r="U111" s="107">
        <v>4261872.8</v>
      </c>
      <c r="V111">
        <v>558406.79999999993</v>
      </c>
      <c r="W111">
        <v>558406.79999999993</v>
      </c>
      <c r="X111">
        <v>0</v>
      </c>
      <c r="Y111">
        <v>5378686.4000000004</v>
      </c>
    </row>
    <row r="112" spans="9:25" x14ac:dyDescent="0.3">
      <c r="I112" s="2"/>
      <c r="J112" s="1"/>
      <c r="K112" s="1"/>
      <c r="L112" s="19"/>
      <c r="M112" s="19"/>
      <c r="N112" s="19"/>
      <c r="O112" s="19"/>
      <c r="P112" s="39"/>
      <c r="Q112" s="115"/>
      <c r="R112" s="115"/>
      <c r="S112" s="115"/>
      <c r="T112" t="s">
        <v>70</v>
      </c>
      <c r="U112">
        <v>-4261872.8</v>
      </c>
      <c r="V112">
        <v>3445136.9255982731</v>
      </c>
      <c r="W112">
        <v>3445136.9255982731</v>
      </c>
      <c r="X112">
        <v>4003543.7255982729</v>
      </c>
      <c r="Y112">
        <v>6631944.7767948192</v>
      </c>
    </row>
    <row r="113" spans="6:22" x14ac:dyDescent="0.3">
      <c r="I113" s="2" t="s">
        <v>151</v>
      </c>
      <c r="J113" s="1"/>
      <c r="K113" s="1"/>
      <c r="L113" s="75">
        <v>0</v>
      </c>
      <c r="M113" s="75">
        <v>1</v>
      </c>
      <c r="N113" s="75">
        <v>2</v>
      </c>
      <c r="O113" s="75">
        <v>3</v>
      </c>
      <c r="P113" s="76"/>
      <c r="Q113" s="115"/>
      <c r="R113" s="115"/>
      <c r="S113" s="115"/>
    </row>
    <row r="114" spans="6:22" x14ac:dyDescent="0.3">
      <c r="I114" s="2" t="s">
        <v>152</v>
      </c>
      <c r="J114" s="1"/>
      <c r="K114" s="1"/>
      <c r="L114" s="19">
        <f>L109</f>
        <v>0</v>
      </c>
      <c r="M114" s="19">
        <f>M109</f>
        <v>4905798.1028614333</v>
      </c>
      <c r="N114" s="19">
        <f t="shared" ref="N114:O114" si="26">N109</f>
        <v>4905798.1028614333</v>
      </c>
      <c r="O114" s="19">
        <f t="shared" si="26"/>
        <v>4905798.1028614333</v>
      </c>
      <c r="P114" s="39">
        <f t="shared" ref="P114" si="27">P109</f>
        <v>14717394.308584299</v>
      </c>
      <c r="Q114" s="115"/>
      <c r="R114" s="115"/>
      <c r="S114" s="115"/>
    </row>
    <row r="115" spans="6:22" x14ac:dyDescent="0.3">
      <c r="I115" s="2" t="s">
        <v>153</v>
      </c>
      <c r="J115" s="1"/>
      <c r="K115" s="1"/>
      <c r="L115" s="19">
        <f>L111</f>
        <v>-4802207.8861882435</v>
      </c>
      <c r="M115" s="19">
        <f>$L$115+SUM($M$114:M114)</f>
        <v>103590.21667318977</v>
      </c>
      <c r="N115" s="19">
        <f>$L$115+SUM($M$114:N114)</f>
        <v>5009388.3195346231</v>
      </c>
      <c r="O115" s="19">
        <f>$L$115+SUM($M$114:O114)</f>
        <v>9915186.4223960564</v>
      </c>
      <c r="P115" s="39"/>
      <c r="Q115" s="115"/>
      <c r="R115" s="115"/>
      <c r="S115" s="115"/>
      <c r="V115" s="53">
        <f>M109/12</f>
        <v>408816.50857178611</v>
      </c>
    </row>
    <row r="116" spans="6:22" ht="13.8" customHeight="1" x14ac:dyDescent="0.3">
      <c r="I116" s="2"/>
      <c r="J116" s="1"/>
      <c r="K116" s="1"/>
      <c r="L116" s="19"/>
      <c r="M116" s="19"/>
      <c r="N116" s="19"/>
      <c r="O116" s="19"/>
      <c r="P116" s="39"/>
      <c r="Q116" s="68"/>
      <c r="R116" s="115"/>
      <c r="S116" s="115"/>
      <c r="V116" s="106">
        <f>L111/V115</f>
        <v>-11.746609506951943</v>
      </c>
    </row>
    <row r="117" spans="6:22" ht="13.8" customHeight="1" x14ac:dyDescent="0.3">
      <c r="I117" s="2" t="s">
        <v>196</v>
      </c>
      <c r="J117" s="1"/>
      <c r="K117" s="1"/>
      <c r="L117" s="19"/>
      <c r="M117" s="165">
        <f>IF($J$11&lt;$J$19,0,IF(AND($J$11&gt;=$J$19,$J$11&lt;$L$19),K16,IF(AND($J$11&gt;=$L$19,$J$11&lt;$N$19),M16,IF(AND($J$11&gt;=$N$19,$J$11&lt;$P$19),O16,IF(AND($J$11&gt;=$P$19,$J$11&lt;=$R$19),Q16,0)))))</f>
        <v>1.2330045449005576</v>
      </c>
      <c r="N117" s="19"/>
      <c r="O117" s="19"/>
      <c r="P117" s="39"/>
      <c r="Q117" s="68"/>
      <c r="R117" s="115"/>
      <c r="S117" s="115"/>
      <c r="V117" s="106"/>
    </row>
    <row r="118" spans="6:22" x14ac:dyDescent="0.3">
      <c r="I118" s="2" t="s">
        <v>197</v>
      </c>
      <c r="J118" s="1"/>
      <c r="K118" s="1"/>
      <c r="L118" s="19"/>
      <c r="M118" s="165">
        <f>IF($J$11&lt;$J$19,0,IF(AND($J$11&gt;=$J$19,$J$11&lt;$L$19),M16,IF(AND($J$11&gt;=$L$19,$J$11&lt;$N$19),O16,IF(AND($J$11&gt;=$N$19,$J$11&lt;$P$19),Q16,IF(AND($J$11&gt;=$P$19,$J$11&lt;=$R$19),S16,0)))))</f>
        <v>1.8068979662263354</v>
      </c>
      <c r="N118" s="19"/>
      <c r="O118" s="19"/>
      <c r="P118" s="154">
        <f>P111/P110</f>
        <v>1.4529113102080802</v>
      </c>
      <c r="Q118" s="115"/>
      <c r="R118" s="115"/>
      <c r="S118" s="115"/>
    </row>
    <row r="119" spans="6:22" ht="15" thickBot="1" x14ac:dyDescent="0.35">
      <c r="I119" s="2"/>
      <c r="J119" s="1"/>
      <c r="K119" s="1"/>
      <c r="L119" s="19"/>
      <c r="M119" s="19"/>
      <c r="N119" s="19"/>
      <c r="O119" s="19"/>
      <c r="P119" s="154"/>
      <c r="Q119" s="115"/>
      <c r="R119" s="115"/>
      <c r="S119" s="115"/>
    </row>
    <row r="120" spans="6:22" ht="13.95" customHeight="1" x14ac:dyDescent="0.3">
      <c r="I120" s="31" t="s">
        <v>71</v>
      </c>
      <c r="J120" s="144"/>
      <c r="K120" s="144"/>
      <c r="L120" s="32">
        <f>(P109-P110)/P110</f>
        <v>1.4529113102080802</v>
      </c>
      <c r="M120" s="171">
        <f>M117+ ((M118-M117)*(($J$11-$E$29)/($G$29-$E$29)))</f>
        <v>1.4120228678168207</v>
      </c>
      <c r="N120" s="152"/>
      <c r="O120" s="19"/>
      <c r="P120" s="39"/>
      <c r="Q120" s="115"/>
      <c r="R120" s="115"/>
      <c r="S120" s="115"/>
    </row>
    <row r="121" spans="6:22" ht="15" thickBot="1" x14ac:dyDescent="0.35">
      <c r="I121" s="33" t="s">
        <v>72</v>
      </c>
      <c r="J121" s="145"/>
      <c r="K121" s="145"/>
      <c r="L121" s="303">
        <f>NPV(8%,L111:P111)</f>
        <v>12203808.548228152</v>
      </c>
      <c r="M121" s="166"/>
      <c r="N121" s="19"/>
      <c r="O121" s="19"/>
      <c r="P121" s="39"/>
      <c r="Q121" s="115"/>
      <c r="R121" s="115"/>
      <c r="S121" s="115"/>
    </row>
    <row r="122" spans="6:22" ht="15" thickBot="1" x14ac:dyDescent="0.35">
      <c r="F122" s="305" t="s">
        <v>259</v>
      </c>
      <c r="G122" s="305"/>
      <c r="I122" s="33" t="s">
        <v>190</v>
      </c>
      <c r="J122" s="145"/>
      <c r="K122" s="145"/>
      <c r="L122" s="306">
        <f>IF(L115&lt;0,L113+(-(L115/M114)), IF(M115&lt;0, M113+(-(M115/N114)),IF(N115&lt;0, N113+(-(N115/S114)), 3)))</f>
        <v>0.97888412557932869</v>
      </c>
      <c r="M122" s="170">
        <f>L122*12</f>
        <v>11.746609506951945</v>
      </c>
      <c r="N122" s="151"/>
      <c r="O122" s="19"/>
      <c r="P122" s="39"/>
      <c r="Q122" s="68"/>
      <c r="R122" s="115"/>
      <c r="S122" s="115"/>
    </row>
    <row r="123" spans="6:22" ht="15" thickBot="1" x14ac:dyDescent="0.35">
      <c r="I123" s="35" t="s">
        <v>73</v>
      </c>
      <c r="J123" s="146"/>
      <c r="K123" s="146"/>
      <c r="L123" s="304">
        <f>P110</f>
        <v>5999970.0141363135</v>
      </c>
      <c r="M123" s="167"/>
      <c r="N123" s="19"/>
      <c r="O123" s="19"/>
      <c r="P123" s="39"/>
      <c r="Q123" s="115"/>
      <c r="R123" s="115"/>
      <c r="S123" s="115"/>
    </row>
    <row r="124" spans="6:22" ht="15" thickBot="1" x14ac:dyDescent="0.35">
      <c r="I124" s="10"/>
      <c r="J124" s="5"/>
      <c r="K124" s="5"/>
      <c r="L124" s="18"/>
      <c r="M124" s="5"/>
      <c r="N124" s="153"/>
      <c r="O124" s="5"/>
      <c r="P124" s="11"/>
      <c r="Q124" s="115"/>
      <c r="R124" s="115"/>
      <c r="S124" s="115"/>
    </row>
    <row r="125" spans="6:22" x14ac:dyDescent="0.3">
      <c r="I125" s="1"/>
      <c r="J125" s="1"/>
      <c r="K125" s="1"/>
      <c r="L125" s="17"/>
      <c r="M125" s="1"/>
      <c r="N125" s="1"/>
      <c r="O125" s="1"/>
      <c r="P125" s="1"/>
      <c r="Q125" s="115"/>
      <c r="R125" s="115"/>
      <c r="S125" s="115"/>
    </row>
    <row r="126" spans="6:22" ht="15" thickBot="1" x14ac:dyDescent="0.35">
      <c r="L126" s="15"/>
    </row>
    <row r="127" spans="6:22" ht="15" customHeight="1" x14ac:dyDescent="0.3">
      <c r="I127" s="121" t="s">
        <v>164</v>
      </c>
      <c r="J127" s="95"/>
      <c r="K127" s="95" t="s">
        <v>198</v>
      </c>
      <c r="L127" s="122" t="s">
        <v>200</v>
      </c>
      <c r="M127" s="115"/>
      <c r="N127" s="115"/>
      <c r="Q127" s="115"/>
      <c r="R127" s="115"/>
      <c r="S127" s="115"/>
    </row>
    <row r="128" spans="6:22" ht="15" customHeight="1" x14ac:dyDescent="0.3">
      <c r="I128" s="2" t="s">
        <v>78</v>
      </c>
      <c r="J128" s="1"/>
      <c r="K128" s="6">
        <v>1.1000000000000001</v>
      </c>
      <c r="L128" s="198">
        <f>K128</f>
        <v>1.1000000000000001</v>
      </c>
      <c r="M128" s="115"/>
      <c r="N128" s="115"/>
      <c r="Q128" s="115"/>
      <c r="R128" s="115"/>
      <c r="S128" s="115"/>
    </row>
    <row r="129" spans="9:19" ht="15" customHeight="1" x14ac:dyDescent="0.3">
      <c r="I129" s="2" t="s">
        <v>80</v>
      </c>
      <c r="J129" s="1"/>
      <c r="K129" s="6">
        <v>1.05</v>
      </c>
      <c r="L129" s="198">
        <f t="shared" ref="L129:L131" si="28">K129</f>
        <v>1.05</v>
      </c>
      <c r="M129" s="115"/>
      <c r="N129" s="115"/>
      <c r="Q129" s="115"/>
      <c r="R129" s="115"/>
      <c r="S129" s="115"/>
    </row>
    <row r="130" spans="9:19" ht="15.6" customHeight="1" x14ac:dyDescent="0.3">
      <c r="I130" s="2" t="s">
        <v>85</v>
      </c>
      <c r="J130" s="1"/>
      <c r="K130" s="6">
        <v>1</v>
      </c>
      <c r="L130" s="198">
        <f t="shared" si="28"/>
        <v>1</v>
      </c>
      <c r="M130" s="115"/>
      <c r="N130" s="115"/>
      <c r="O130" s="56"/>
      <c r="Q130" s="115"/>
      <c r="R130" s="115"/>
      <c r="S130" s="115"/>
    </row>
    <row r="131" spans="9:19" ht="15" customHeight="1" thickBot="1" x14ac:dyDescent="0.35">
      <c r="I131" s="10" t="s">
        <v>79</v>
      </c>
      <c r="J131" s="5"/>
      <c r="K131" s="199">
        <v>0.9</v>
      </c>
      <c r="L131" s="200">
        <f t="shared" si="28"/>
        <v>0.9</v>
      </c>
      <c r="M131" s="115"/>
      <c r="N131" s="115"/>
      <c r="O131" s="56"/>
      <c r="P131" s="115"/>
      <c r="Q131" s="115"/>
      <c r="R131" s="115"/>
      <c r="S131" s="115"/>
    </row>
    <row r="132" spans="9:19" ht="15" customHeight="1" thickBot="1" x14ac:dyDescent="0.35">
      <c r="I132" s="1"/>
      <c r="J132" s="1"/>
      <c r="K132" s="6"/>
      <c r="L132" s="201"/>
      <c r="M132" s="115"/>
      <c r="N132" s="115"/>
      <c r="O132" s="56"/>
      <c r="P132" s="115"/>
      <c r="Q132" s="115"/>
      <c r="R132" s="115"/>
      <c r="S132" s="115"/>
    </row>
    <row r="133" spans="9:19" ht="15" customHeight="1" x14ac:dyDescent="0.3">
      <c r="I133" s="101" t="s">
        <v>167</v>
      </c>
      <c r="J133" s="147"/>
      <c r="K133" s="147" t="s">
        <v>198</v>
      </c>
      <c r="L133" s="123" t="s">
        <v>200</v>
      </c>
      <c r="M133" s="115"/>
      <c r="N133" s="115"/>
      <c r="O133" s="115"/>
      <c r="P133" s="115"/>
      <c r="Q133" s="115"/>
      <c r="R133" s="115"/>
      <c r="S133" s="115"/>
    </row>
    <row r="134" spans="9:19" ht="15" customHeight="1" x14ac:dyDescent="0.3">
      <c r="I134" s="2" t="s">
        <v>84</v>
      </c>
      <c r="J134" s="1"/>
      <c r="K134" s="77">
        <v>1.05</v>
      </c>
      <c r="L134" s="198">
        <f>K134</f>
        <v>1.05</v>
      </c>
      <c r="M134" s="115"/>
      <c r="N134" s="115"/>
      <c r="O134" s="115"/>
      <c r="P134" s="115"/>
      <c r="Q134" s="115"/>
      <c r="R134" s="115"/>
      <c r="S134" s="115"/>
    </row>
    <row r="135" spans="9:19" ht="15" customHeight="1" x14ac:dyDescent="0.3">
      <c r="I135" s="124" t="s">
        <v>170</v>
      </c>
      <c r="J135" s="129"/>
      <c r="K135" s="6">
        <v>1.02</v>
      </c>
      <c r="L135" s="198">
        <f t="shared" ref="L135:L141" si="29">K135</f>
        <v>1.02</v>
      </c>
      <c r="M135" s="115"/>
      <c r="N135" s="115"/>
      <c r="O135" s="115"/>
      <c r="P135" s="115"/>
      <c r="Q135" s="115"/>
      <c r="R135" s="115"/>
      <c r="S135" s="115"/>
    </row>
    <row r="136" spans="9:19" ht="15" customHeight="1" x14ac:dyDescent="0.3">
      <c r="I136" s="2" t="s">
        <v>172</v>
      </c>
      <c r="J136" s="1"/>
      <c r="K136" s="6">
        <v>1.04</v>
      </c>
      <c r="L136" s="198">
        <f t="shared" si="29"/>
        <v>1.04</v>
      </c>
      <c r="M136" s="115"/>
      <c r="N136" s="115"/>
      <c r="O136" s="203"/>
      <c r="P136" s="115"/>
      <c r="Q136" s="115"/>
      <c r="R136" s="115"/>
      <c r="S136" s="115"/>
    </row>
    <row r="137" spans="9:19" ht="15" customHeight="1" x14ac:dyDescent="0.3">
      <c r="I137" s="124" t="s">
        <v>171</v>
      </c>
      <c r="J137" s="129"/>
      <c r="K137" s="6">
        <v>1.02</v>
      </c>
      <c r="L137" s="198">
        <f t="shared" si="29"/>
        <v>1.02</v>
      </c>
      <c r="M137" s="115"/>
      <c r="N137" s="115"/>
      <c r="O137" s="115"/>
      <c r="P137" s="115"/>
      <c r="Q137" s="115"/>
      <c r="R137" s="115"/>
      <c r="S137" s="115"/>
    </row>
    <row r="138" spans="9:19" ht="15" customHeight="1" x14ac:dyDescent="0.3">
      <c r="I138" s="2" t="s">
        <v>86</v>
      </c>
      <c r="J138" s="1"/>
      <c r="K138" s="6">
        <v>1.01</v>
      </c>
      <c r="L138" s="198">
        <f t="shared" si="29"/>
        <v>1.01</v>
      </c>
      <c r="M138" s="115"/>
      <c r="N138" s="115"/>
      <c r="O138" s="115"/>
      <c r="P138" s="115"/>
      <c r="Q138" s="115"/>
      <c r="R138" s="115"/>
      <c r="S138" s="115"/>
    </row>
    <row r="139" spans="9:19" ht="15" customHeight="1" x14ac:dyDescent="0.3">
      <c r="I139" s="124" t="s">
        <v>168</v>
      </c>
      <c r="J139" s="129"/>
      <c r="K139" s="6">
        <v>1</v>
      </c>
      <c r="L139" s="198">
        <f t="shared" si="29"/>
        <v>1</v>
      </c>
      <c r="M139" s="115"/>
      <c r="N139" s="115"/>
      <c r="O139" s="115"/>
      <c r="P139" s="115"/>
      <c r="Q139" s="115"/>
      <c r="R139" s="115"/>
      <c r="S139" s="115"/>
    </row>
    <row r="140" spans="9:19" ht="15" customHeight="1" x14ac:dyDescent="0.3">
      <c r="I140" s="2" t="s">
        <v>87</v>
      </c>
      <c r="J140" s="1"/>
      <c r="K140" s="6">
        <v>1.02</v>
      </c>
      <c r="L140" s="198">
        <f t="shared" si="29"/>
        <v>1.02</v>
      </c>
      <c r="M140" s="115"/>
      <c r="N140" s="115"/>
      <c r="O140" s="115"/>
      <c r="P140" s="115"/>
      <c r="Q140" s="115"/>
      <c r="R140" s="115"/>
      <c r="S140" s="115"/>
    </row>
    <row r="141" spans="9:19" ht="15" customHeight="1" thickBot="1" x14ac:dyDescent="0.35">
      <c r="I141" s="125" t="s">
        <v>169</v>
      </c>
      <c r="J141" s="130"/>
      <c r="K141" s="199">
        <v>1.01</v>
      </c>
      <c r="L141" s="200">
        <f t="shared" si="29"/>
        <v>1.01</v>
      </c>
      <c r="M141" s="115"/>
      <c r="N141" s="115"/>
      <c r="O141" s="115"/>
      <c r="P141" s="115"/>
      <c r="Q141" s="115"/>
      <c r="R141" s="115"/>
      <c r="S141" s="115"/>
    </row>
    <row r="142" spans="9:19" ht="16.8" customHeight="1" thickBot="1" x14ac:dyDescent="0.35">
      <c r="L142" s="115"/>
      <c r="M142" s="115"/>
      <c r="N142" s="115"/>
      <c r="O142" s="115"/>
      <c r="P142" s="115"/>
      <c r="Q142" s="115"/>
      <c r="R142" s="115"/>
      <c r="S142" s="115"/>
    </row>
    <row r="143" spans="9:19" ht="15" customHeight="1" x14ac:dyDescent="0.3">
      <c r="I143" s="126" t="s">
        <v>141</v>
      </c>
      <c r="J143" s="127"/>
      <c r="K143" s="127" t="s">
        <v>198</v>
      </c>
      <c r="L143" s="127" t="s">
        <v>199</v>
      </c>
      <c r="M143" s="128" t="s">
        <v>200</v>
      </c>
      <c r="N143" s="115"/>
      <c r="O143" s="115"/>
      <c r="P143" s="203"/>
      <c r="Q143" s="115"/>
      <c r="R143" s="115"/>
      <c r="S143" s="115"/>
    </row>
    <row r="144" spans="9:19" ht="15" customHeight="1" x14ac:dyDescent="0.3">
      <c r="I144" s="2" t="s">
        <v>156</v>
      </c>
      <c r="J144" s="1"/>
      <c r="K144" s="6">
        <v>1</v>
      </c>
      <c r="L144" s="201">
        <v>1</v>
      </c>
      <c r="M144" s="198">
        <v>1</v>
      </c>
      <c r="N144" s="115"/>
      <c r="O144" s="115"/>
      <c r="P144" s="115"/>
      <c r="Q144" s="115"/>
      <c r="R144" s="115"/>
      <c r="S144" s="115"/>
    </row>
    <row r="145" spans="9:19" ht="15" customHeight="1" x14ac:dyDescent="0.3">
      <c r="I145" s="2" t="s">
        <v>157</v>
      </c>
      <c r="J145" s="1"/>
      <c r="K145" s="6">
        <v>1.1499999999999999</v>
      </c>
      <c r="L145" s="201">
        <v>1.1000000000000001</v>
      </c>
      <c r="M145" s="198">
        <v>1.2</v>
      </c>
      <c r="N145" s="115"/>
      <c r="O145" s="115"/>
      <c r="P145" s="115"/>
      <c r="Q145" s="115"/>
      <c r="R145" s="115"/>
      <c r="S145" s="115"/>
    </row>
    <row r="146" spans="9:19" ht="15" customHeight="1" thickBot="1" x14ac:dyDescent="0.35">
      <c r="I146" s="10" t="s">
        <v>155</v>
      </c>
      <c r="J146" s="5"/>
      <c r="K146" s="199">
        <v>1.3</v>
      </c>
      <c r="L146" s="202">
        <v>1.2</v>
      </c>
      <c r="M146" s="200">
        <v>1.3</v>
      </c>
      <c r="N146" s="115"/>
      <c r="O146" s="115"/>
      <c r="P146" s="115"/>
      <c r="Q146" s="115"/>
      <c r="R146" s="115"/>
      <c r="S146" s="115"/>
    </row>
    <row r="147" spans="9:19" ht="15" customHeight="1" x14ac:dyDescent="0.3">
      <c r="L147" s="115"/>
      <c r="M147" s="115"/>
      <c r="N147" s="115"/>
      <c r="O147" s="115"/>
      <c r="P147" s="115"/>
      <c r="Q147" s="115"/>
      <c r="R147" s="115"/>
      <c r="S147" s="115"/>
    </row>
    <row r="148" spans="9:19" ht="15" thickBot="1" x14ac:dyDescent="0.35">
      <c r="I148" s="1"/>
      <c r="J148" s="1"/>
      <c r="K148" s="1"/>
      <c r="L148" s="17"/>
      <c r="M148" s="1"/>
      <c r="N148" s="1"/>
      <c r="O148" s="1"/>
      <c r="P148" s="1"/>
      <c r="Q148" s="115"/>
      <c r="R148" s="115"/>
      <c r="S148" s="115"/>
    </row>
    <row r="149" spans="9:19" x14ac:dyDescent="0.3">
      <c r="I149" s="101" t="s">
        <v>206</v>
      </c>
      <c r="J149" s="206" t="s">
        <v>98</v>
      </c>
      <c r="K149" s="207" t="s">
        <v>97</v>
      </c>
      <c r="L149" s="17"/>
      <c r="M149" s="1"/>
      <c r="N149" s="1"/>
      <c r="O149" s="1"/>
      <c r="P149" s="1"/>
      <c r="Q149" s="115"/>
      <c r="R149" s="115"/>
      <c r="S149" s="115"/>
    </row>
    <row r="150" spans="9:19" x14ac:dyDescent="0.3">
      <c r="I150" s="2" t="s">
        <v>204</v>
      </c>
      <c r="J150" s="8">
        <f>M91</f>
        <v>5.280202686355417</v>
      </c>
      <c r="K150" s="79">
        <f>M120</f>
        <v>1.4120228678168207</v>
      </c>
      <c r="L150" s="17"/>
      <c r="M150" s="1"/>
      <c r="N150" s="1"/>
      <c r="O150" s="1"/>
      <c r="P150" s="1"/>
      <c r="Q150" s="115"/>
      <c r="R150" s="115"/>
      <c r="S150" s="115"/>
    </row>
    <row r="151" spans="9:19" x14ac:dyDescent="0.3">
      <c r="I151" s="2" t="s">
        <v>205</v>
      </c>
      <c r="J151" s="6">
        <f>M93</f>
        <v>4.8970907722368562</v>
      </c>
      <c r="K151" s="214">
        <f>M122</f>
        <v>11.746609506951945</v>
      </c>
      <c r="L151" s="17"/>
      <c r="M151" s="1"/>
      <c r="N151" s="1"/>
      <c r="O151" s="1"/>
      <c r="P151" s="1"/>
      <c r="Q151" s="115"/>
      <c r="R151" s="115"/>
      <c r="S151" s="115"/>
    </row>
    <row r="152" spans="9:19" ht="15" thickBot="1" x14ac:dyDescent="0.35">
      <c r="I152" s="10"/>
      <c r="J152" s="5"/>
      <c r="K152" s="11"/>
      <c r="L152" s="17"/>
      <c r="M152" s="1"/>
      <c r="N152" s="1"/>
      <c r="O152" s="1"/>
      <c r="P152" s="1"/>
      <c r="Q152" s="115"/>
      <c r="R152" s="115"/>
      <c r="S152" s="115"/>
    </row>
    <row r="153" spans="9:19" ht="15" thickBot="1" x14ac:dyDescent="0.35">
      <c r="I153" s="1"/>
      <c r="J153" s="1"/>
      <c r="K153" s="1"/>
      <c r="L153" s="17"/>
      <c r="M153" s="1"/>
      <c r="N153" s="1"/>
      <c r="O153" s="1"/>
      <c r="P153" s="1"/>
      <c r="Q153" s="115"/>
      <c r="R153" s="115"/>
      <c r="S153" s="115"/>
    </row>
    <row r="154" spans="9:19" x14ac:dyDescent="0.3">
      <c r="I154" s="101" t="s">
        <v>207</v>
      </c>
      <c r="J154" s="206" t="s">
        <v>98</v>
      </c>
      <c r="K154" s="207" t="s">
        <v>97</v>
      </c>
      <c r="L154" s="17"/>
      <c r="M154" s="1"/>
      <c r="N154" s="1"/>
      <c r="O154" s="1"/>
      <c r="P154" s="1"/>
      <c r="Q154" s="115"/>
      <c r="R154" s="115"/>
      <c r="S154" s="115"/>
    </row>
    <row r="155" spans="9:19" x14ac:dyDescent="0.3">
      <c r="I155" s="209" t="s">
        <v>208</v>
      </c>
      <c r="J155" s="149"/>
      <c r="K155" s="210"/>
      <c r="L155" s="17"/>
      <c r="M155" s="1"/>
      <c r="N155" s="1"/>
      <c r="O155" s="1"/>
      <c r="P155" s="1"/>
      <c r="Q155" s="115"/>
      <c r="R155" s="115"/>
      <c r="S155" s="115"/>
    </row>
    <row r="156" spans="9:19" x14ac:dyDescent="0.3">
      <c r="I156" s="2" t="s">
        <v>159</v>
      </c>
      <c r="J156" s="4">
        <f t="shared" ref="J156:K158" si="30">J52</f>
        <v>1500000</v>
      </c>
      <c r="K156" s="74">
        <f t="shared" si="30"/>
        <v>1206775.3411467725</v>
      </c>
      <c r="L156" s="17"/>
      <c r="M156" s="1"/>
      <c r="N156" s="1"/>
      <c r="O156" s="1"/>
      <c r="P156" s="1"/>
      <c r="Q156" s="115"/>
      <c r="R156" s="115"/>
      <c r="S156" s="115"/>
    </row>
    <row r="157" spans="9:19" x14ac:dyDescent="0.3">
      <c r="I157" s="2" t="s">
        <v>158</v>
      </c>
      <c r="J157" s="4">
        <f t="shared" si="30"/>
        <v>703317.0198341147</v>
      </c>
      <c r="K157" s="74">
        <f t="shared" si="30"/>
        <v>2996551.4810674358</v>
      </c>
      <c r="L157" s="17"/>
      <c r="M157" s="1"/>
      <c r="N157" s="1"/>
      <c r="O157" s="1"/>
      <c r="P157" s="1"/>
      <c r="Q157" s="115"/>
      <c r="R157" s="115"/>
      <c r="S157" s="115"/>
    </row>
    <row r="158" spans="9:19" x14ac:dyDescent="0.3">
      <c r="I158" s="2" t="s">
        <v>67</v>
      </c>
      <c r="J158" s="4">
        <f t="shared" si="30"/>
        <v>205406.20000000004</v>
      </c>
      <c r="K158" s="74">
        <f t="shared" si="30"/>
        <v>598881.06397403532</v>
      </c>
      <c r="L158" s="17"/>
      <c r="M158" s="1"/>
      <c r="N158" s="1"/>
      <c r="O158" s="1"/>
      <c r="P158" s="1"/>
      <c r="Q158" s="115"/>
      <c r="R158" s="115"/>
      <c r="S158" s="115"/>
    </row>
    <row r="159" spans="9:19" x14ac:dyDescent="0.3">
      <c r="I159" s="209" t="s">
        <v>209</v>
      </c>
      <c r="J159" s="132"/>
      <c r="K159" s="133"/>
      <c r="L159" s="17"/>
      <c r="M159" s="1"/>
      <c r="N159" s="1"/>
      <c r="O159" s="1"/>
      <c r="P159" s="1"/>
      <c r="Q159" s="115"/>
      <c r="R159" s="115"/>
      <c r="S159" s="115"/>
    </row>
    <row r="160" spans="9:19" x14ac:dyDescent="0.3">
      <c r="I160" s="2" t="s">
        <v>59</v>
      </c>
      <c r="J160" s="4">
        <f t="shared" ref="J160:K162" si="31">J56</f>
        <v>447333.12657771364</v>
      </c>
      <c r="K160" s="74">
        <f t="shared" si="31"/>
        <v>352969.63577353046</v>
      </c>
      <c r="L160" s="17"/>
      <c r="M160" s="1"/>
      <c r="N160" s="1"/>
      <c r="O160" s="1"/>
      <c r="P160" s="1"/>
      <c r="Q160" s="115"/>
      <c r="R160" s="115"/>
      <c r="S160" s="115"/>
    </row>
    <row r="161" spans="9:19" x14ac:dyDescent="0.3">
      <c r="I161" s="2" t="s">
        <v>60</v>
      </c>
      <c r="J161" s="4">
        <f t="shared" si="31"/>
        <v>1858163.5412910206</v>
      </c>
      <c r="K161" s="74">
        <f t="shared" si="31"/>
        <v>1422880.6346916696</v>
      </c>
      <c r="L161" s="17"/>
      <c r="M161" s="1"/>
      <c r="N161" s="1"/>
      <c r="O161" s="1"/>
      <c r="P161" s="1"/>
      <c r="Q161" s="115"/>
      <c r="R161" s="115"/>
      <c r="S161" s="115"/>
    </row>
    <row r="162" spans="9:19" x14ac:dyDescent="0.3">
      <c r="I162" s="2" t="s">
        <v>61</v>
      </c>
      <c r="J162" s="4">
        <f t="shared" si="31"/>
        <v>2385979.084024522</v>
      </c>
      <c r="K162" s="74">
        <f t="shared" si="31"/>
        <v>1854506.3108546701</v>
      </c>
      <c r="L162" s="17"/>
      <c r="M162" s="1"/>
      <c r="N162" s="1"/>
      <c r="O162" s="1"/>
      <c r="P162" s="1"/>
      <c r="Q162" s="115"/>
      <c r="R162" s="115"/>
      <c r="S162" s="115"/>
    </row>
    <row r="163" spans="9:19" x14ac:dyDescent="0.3">
      <c r="I163" s="209" t="s">
        <v>210</v>
      </c>
      <c r="J163" s="132"/>
      <c r="K163" s="133"/>
      <c r="L163" s="17"/>
      <c r="M163" s="1"/>
      <c r="N163" s="1"/>
      <c r="O163" s="1"/>
      <c r="P163" s="1"/>
      <c r="Q163" s="115"/>
      <c r="R163" s="115"/>
      <c r="S163" s="115"/>
    </row>
    <row r="164" spans="9:19" x14ac:dyDescent="0.3">
      <c r="I164" s="2" t="s">
        <v>55</v>
      </c>
      <c r="J164" s="4">
        <f t="shared" ref="J164:K166" si="32">J60</f>
        <v>3089506.6714749373</v>
      </c>
      <c r="K164" s="74">
        <f t="shared" si="32"/>
        <v>2864324.2697439604</v>
      </c>
      <c r="L164" s="17"/>
      <c r="M164" s="1"/>
      <c r="N164" s="1"/>
      <c r="O164" s="1"/>
      <c r="P164" s="1"/>
      <c r="Q164" s="115"/>
      <c r="R164" s="115"/>
      <c r="S164" s="115"/>
    </row>
    <row r="165" spans="9:19" x14ac:dyDescent="0.3">
      <c r="I165" s="2" t="s">
        <v>62</v>
      </c>
      <c r="J165" s="4">
        <f t="shared" si="32"/>
        <v>3374287.2701045806</v>
      </c>
      <c r="K165" s="74">
        <f t="shared" si="32"/>
        <v>2861036.0620266865</v>
      </c>
      <c r="L165" s="17"/>
      <c r="M165" s="1"/>
      <c r="N165" s="1"/>
      <c r="O165" s="1"/>
      <c r="P165" s="1"/>
      <c r="Q165" s="115"/>
      <c r="R165" s="115"/>
      <c r="S165" s="115"/>
    </row>
    <row r="166" spans="9:19" x14ac:dyDescent="0.3">
      <c r="I166" s="2" t="s">
        <v>58</v>
      </c>
      <c r="J166" s="4">
        <f t="shared" si="32"/>
        <v>494946.82338724303</v>
      </c>
      <c r="K166" s="74">
        <f t="shared" si="32"/>
        <v>425557.33249711507</v>
      </c>
      <c r="L166" s="17"/>
      <c r="M166" s="1"/>
      <c r="N166" s="1"/>
      <c r="O166" s="1"/>
      <c r="P166" s="1"/>
      <c r="Q166" s="115"/>
      <c r="R166" s="115"/>
      <c r="S166" s="115"/>
    </row>
    <row r="167" spans="9:19" x14ac:dyDescent="0.3">
      <c r="I167" s="209" t="s">
        <v>211</v>
      </c>
      <c r="J167" s="132"/>
      <c r="K167" s="133"/>
      <c r="L167" s="17"/>
      <c r="M167" s="1"/>
      <c r="N167" s="1"/>
      <c r="O167" s="1"/>
      <c r="P167" s="1"/>
      <c r="Q167" s="115"/>
      <c r="R167" s="115"/>
      <c r="S167" s="115"/>
    </row>
    <row r="168" spans="9:19" x14ac:dyDescent="0.3">
      <c r="I168" s="2" t="s">
        <v>63</v>
      </c>
      <c r="J168" s="4">
        <f t="shared" ref="J168:K170" si="33">J64</f>
        <v>2290994.356495121</v>
      </c>
      <c r="K168" s="74">
        <f t="shared" si="33"/>
        <v>2014360.8717962652</v>
      </c>
      <c r="L168" s="17"/>
      <c r="M168" s="1"/>
      <c r="N168" s="1"/>
      <c r="O168" s="1"/>
      <c r="P168" s="1"/>
      <c r="Q168" s="115"/>
      <c r="R168" s="115"/>
      <c r="S168" s="115"/>
    </row>
    <row r="169" spans="9:19" x14ac:dyDescent="0.3">
      <c r="I169" s="2" t="s">
        <v>64</v>
      </c>
      <c r="J169" s="4">
        <f t="shared" si="33"/>
        <v>1656025.9646592138</v>
      </c>
      <c r="K169" s="74">
        <f t="shared" si="33"/>
        <v>1438930.5805986295</v>
      </c>
      <c r="L169" s="17"/>
      <c r="M169" s="1"/>
      <c r="N169" s="1"/>
      <c r="O169" s="1"/>
      <c r="P169" s="1"/>
      <c r="Q169" s="115"/>
      <c r="R169" s="115"/>
      <c r="S169" s="115"/>
    </row>
    <row r="170" spans="9:19" ht="15" thickBot="1" x14ac:dyDescent="0.35">
      <c r="I170" s="7" t="s">
        <v>57</v>
      </c>
      <c r="J170" s="94">
        <f t="shared" si="33"/>
        <v>2110018.3359426446</v>
      </c>
      <c r="K170" s="96">
        <f t="shared" si="33"/>
        <v>1482828.610601773</v>
      </c>
      <c r="L170" s="17"/>
      <c r="M170" s="1"/>
      <c r="N170" s="1"/>
      <c r="O170" s="1"/>
      <c r="P170" s="1"/>
      <c r="Q170" s="115"/>
      <c r="R170" s="115"/>
      <c r="S170" s="115"/>
    </row>
    <row r="171" spans="9:19" ht="15" thickTop="1" x14ac:dyDescent="0.3">
      <c r="I171" s="2"/>
      <c r="J171" s="1"/>
      <c r="K171" s="3"/>
      <c r="L171" s="17"/>
      <c r="M171" s="1"/>
      <c r="N171" s="1"/>
      <c r="O171" s="1"/>
      <c r="P171" s="1"/>
      <c r="Q171" s="115"/>
      <c r="R171" s="115"/>
      <c r="S171" s="115"/>
    </row>
    <row r="172" spans="9:19" x14ac:dyDescent="0.3">
      <c r="I172" s="57" t="s">
        <v>69</v>
      </c>
      <c r="J172" s="211">
        <f>SUM(J156:J158)</f>
        <v>2408723.2198341149</v>
      </c>
      <c r="K172" s="212">
        <f>SUM(K156:K158)</f>
        <v>4802207.8861882435</v>
      </c>
      <c r="L172" s="17"/>
      <c r="M172" s="1"/>
      <c r="N172" s="1"/>
      <c r="O172" s="1"/>
      <c r="P172" s="1"/>
      <c r="Q172" s="115"/>
      <c r="R172" s="115"/>
      <c r="S172" s="115"/>
    </row>
    <row r="173" spans="9:19" x14ac:dyDescent="0.3">
      <c r="I173" s="40" t="s">
        <v>65</v>
      </c>
      <c r="J173" s="41">
        <f>SUM(J160:J170)</f>
        <v>17707255.173956998</v>
      </c>
      <c r="K173" s="213">
        <f>SUM(K160:K170)</f>
        <v>14717394.308584301</v>
      </c>
      <c r="L173" s="17"/>
      <c r="M173" s="1"/>
      <c r="N173" s="1"/>
      <c r="O173" s="1"/>
      <c r="P173" s="1"/>
      <c r="Q173" s="115"/>
      <c r="R173" s="115"/>
      <c r="S173" s="115"/>
    </row>
    <row r="174" spans="9:19" ht="15" thickBot="1" x14ac:dyDescent="0.35">
      <c r="I174" s="10"/>
      <c r="J174" s="5"/>
      <c r="K174" s="11"/>
      <c r="L174" s="17"/>
      <c r="M174" s="1"/>
      <c r="N174" s="1"/>
      <c r="O174" s="1"/>
      <c r="P174" s="1"/>
      <c r="Q174" s="115"/>
      <c r="R174" s="115"/>
      <c r="S174" s="115"/>
    </row>
    <row r="175" spans="9:19" ht="15" thickBot="1" x14ac:dyDescent="0.35">
      <c r="I175" s="1"/>
      <c r="J175" s="1"/>
      <c r="K175" s="1"/>
      <c r="L175" s="17"/>
      <c r="M175" s="1"/>
      <c r="N175" s="1"/>
      <c r="O175" s="1"/>
      <c r="P175" s="1"/>
      <c r="Q175" s="115"/>
      <c r="R175" s="115"/>
      <c r="S175" s="115"/>
    </row>
    <row r="176" spans="9:19" ht="15" customHeight="1" thickBot="1" x14ac:dyDescent="0.35">
      <c r="I176" s="121"/>
      <c r="J176" s="95" t="s">
        <v>198</v>
      </c>
      <c r="K176" s="216" t="s">
        <v>200</v>
      </c>
      <c r="L176" s="217" t="s">
        <v>199</v>
      </c>
      <c r="M176" s="215"/>
      <c r="N176" s="115"/>
      <c r="O176" s="115"/>
      <c r="P176" s="115"/>
      <c r="Q176" s="115"/>
      <c r="R176" s="115"/>
      <c r="S176" s="115"/>
    </row>
    <row r="177" spans="9:14" x14ac:dyDescent="0.3">
      <c r="I177" s="84" t="s">
        <v>201</v>
      </c>
      <c r="J177" s="78">
        <f>IF( L5=I128,K128,IF(L5=I129,K129,IF(L5=I130,K130,IF(L5=I131,K131,1))))</f>
        <v>1</v>
      </c>
      <c r="K177" s="238">
        <f>IF( L5=I128,L128,IF(L5=I129,L129,IF(L5=I130,L130,IF(L5=I131,L131,1))))</f>
        <v>1</v>
      </c>
      <c r="L177" s="239">
        <v>1</v>
      </c>
    </row>
    <row r="178" spans="9:14" x14ac:dyDescent="0.3">
      <c r="I178" s="73" t="s">
        <v>202</v>
      </c>
      <c r="J178" s="23">
        <f>IF(L6=I134,L134,IF(L6=I135,L135, IF(L6=I136,L136,IF(L6=I137,L137,IF(L6=I138,L138,IF(L6=I139,L139, IF(L6=I140,L140, IF(L6=I141,L141,1))))))))</f>
        <v>1</v>
      </c>
      <c r="K178" s="240">
        <f>IF(L6=I134,L134,IF(L6=I135,L135, IF(L6=I136,L136,IF(L6=I137,L137,IF(L6=I138,L138,IF(L6=I139,L139, IF(L6=I140,L140, IF(L6=I141,L141,1))))))))</f>
        <v>1</v>
      </c>
      <c r="L178" s="241">
        <v>1</v>
      </c>
    </row>
    <row r="179" spans="9:14" ht="15" thickBot="1" x14ac:dyDescent="0.35">
      <c r="I179" s="223" t="s">
        <v>203</v>
      </c>
      <c r="J179" s="242">
        <f>IF( L8=I144,K144,IF(L8=I145,K145,IF(L8=I146,K146,1)))</f>
        <v>1.3</v>
      </c>
      <c r="K179" s="243">
        <f>IF( L8=I144,L144,IF(L8=I145,L145,IF(L8=I146,L146,1)))</f>
        <v>1.2</v>
      </c>
      <c r="L179" s="244">
        <f>IF( L8=I144,M144,IF(L8=I145,M145,IF(L8=I146,M146,1)))</f>
        <v>1.3</v>
      </c>
    </row>
    <row r="180" spans="9:14" ht="15.6" thickTop="1" thickBot="1" x14ac:dyDescent="0.35">
      <c r="I180" s="204"/>
      <c r="J180" s="205">
        <f>J177*J178*J179</f>
        <v>1.3</v>
      </c>
      <c r="K180" s="205">
        <f t="shared" ref="K180:L180" si="34">K177*K178*K179</f>
        <v>1.2</v>
      </c>
      <c r="L180" s="253">
        <f t="shared" si="34"/>
        <v>1.3</v>
      </c>
    </row>
    <row r="181" spans="9:14" x14ac:dyDescent="0.3">
      <c r="L181" s="56"/>
    </row>
    <row r="182" spans="9:14" ht="15" thickBot="1" x14ac:dyDescent="0.35">
      <c r="L182" s="56"/>
    </row>
    <row r="183" spans="9:14" x14ac:dyDescent="0.3">
      <c r="I183" s="121" t="s">
        <v>213</v>
      </c>
      <c r="J183" s="206" t="s">
        <v>98</v>
      </c>
      <c r="K183" s="207" t="s">
        <v>97</v>
      </c>
      <c r="L183" s="56"/>
    </row>
    <row r="184" spans="9:14" x14ac:dyDescent="0.3">
      <c r="I184" s="2"/>
      <c r="J184" s="1"/>
      <c r="K184" s="3"/>
      <c r="L184" s="56"/>
    </row>
    <row r="185" spans="9:14" x14ac:dyDescent="0.3">
      <c r="I185" s="2" t="s">
        <v>161</v>
      </c>
      <c r="J185" s="69">
        <f>J150*J180</f>
        <v>6.864263492262042</v>
      </c>
      <c r="K185" s="108">
        <f>K150*J180</f>
        <v>1.835629728161867</v>
      </c>
      <c r="L185" s="56"/>
    </row>
    <row r="186" spans="9:14" x14ac:dyDescent="0.3">
      <c r="I186" s="2" t="s">
        <v>214</v>
      </c>
      <c r="J186" s="6">
        <f>J151*J180</f>
        <v>6.366218003907913</v>
      </c>
      <c r="K186" s="81">
        <f>K151*J180</f>
        <v>15.270592359037529</v>
      </c>
      <c r="L186" s="56"/>
    </row>
    <row r="187" spans="9:14" ht="15" thickBot="1" x14ac:dyDescent="0.35">
      <c r="I187" s="10"/>
      <c r="J187" s="5"/>
      <c r="K187" s="11"/>
      <c r="L187" s="56"/>
    </row>
    <row r="188" spans="9:14" x14ac:dyDescent="0.3">
      <c r="L188" s="56"/>
    </row>
    <row r="189" spans="9:14" ht="15" thickBot="1" x14ac:dyDescent="0.35">
      <c r="L189" s="56"/>
    </row>
    <row r="190" spans="9:14" x14ac:dyDescent="0.3">
      <c r="I190" s="71"/>
      <c r="J190" s="234" t="s">
        <v>98</v>
      </c>
      <c r="K190" s="235" t="s">
        <v>97</v>
      </c>
      <c r="L190" s="206" t="s">
        <v>98</v>
      </c>
      <c r="M190" s="207" t="s">
        <v>97</v>
      </c>
      <c r="N190" s="245" t="s">
        <v>215</v>
      </c>
    </row>
    <row r="191" spans="9:14" x14ac:dyDescent="0.3">
      <c r="I191" s="111" t="s">
        <v>160</v>
      </c>
      <c r="J191" s="226"/>
      <c r="K191" s="227"/>
      <c r="L191" s="196"/>
      <c r="M191" s="197"/>
      <c r="N191" s="246"/>
    </row>
    <row r="192" spans="9:14" x14ac:dyDescent="0.3">
      <c r="I192" s="73" t="s">
        <v>174</v>
      </c>
      <c r="J192" s="228">
        <f>J156</f>
        <v>1500000</v>
      </c>
      <c r="K192" s="229">
        <f>K156</f>
        <v>1206775.3411467725</v>
      </c>
      <c r="L192" s="4">
        <f>J192*$L$180</f>
        <v>1950000</v>
      </c>
      <c r="M192" s="74">
        <f>K192*$L$180</f>
        <v>1568807.9434908044</v>
      </c>
      <c r="N192" s="247">
        <f>L192/M192</f>
        <v>1.2429819775523274</v>
      </c>
    </row>
    <row r="193" spans="9:14" x14ac:dyDescent="0.3">
      <c r="I193" s="73" t="s">
        <v>175</v>
      </c>
      <c r="J193" s="228">
        <f t="shared" ref="J193:K193" si="35">J157</f>
        <v>703317.0198341147</v>
      </c>
      <c r="K193" s="229">
        <f t="shared" si="35"/>
        <v>2996551.4810674358</v>
      </c>
      <c r="L193" s="4">
        <f t="shared" ref="L193:L194" si="36">J193*$L$180</f>
        <v>914312.12578434916</v>
      </c>
      <c r="M193" s="74">
        <f t="shared" ref="M193:M194" si="37">K193*$L$180</f>
        <v>3895516.9253876666</v>
      </c>
      <c r="N193" s="247">
        <f t="shared" ref="N193:N206" si="38">L193/M193</f>
        <v>0.23470880586492648</v>
      </c>
    </row>
    <row r="194" spans="9:14" ht="15" thickBot="1" x14ac:dyDescent="0.35">
      <c r="I194" s="223" t="s">
        <v>176</v>
      </c>
      <c r="J194" s="230">
        <f t="shared" ref="J194:K194" si="39">J158</f>
        <v>205406.20000000004</v>
      </c>
      <c r="K194" s="231">
        <f t="shared" si="39"/>
        <v>598881.06397403532</v>
      </c>
      <c r="L194" s="94">
        <f t="shared" si="36"/>
        <v>267028.06000000006</v>
      </c>
      <c r="M194" s="96">
        <f t="shared" si="37"/>
        <v>778545.383166246</v>
      </c>
      <c r="N194" s="249">
        <f t="shared" si="38"/>
        <v>0.34298329393982219</v>
      </c>
    </row>
    <row r="195" spans="9:14" ht="15" thickTop="1" x14ac:dyDescent="0.3">
      <c r="I195" s="111" t="s">
        <v>92</v>
      </c>
      <c r="J195" s="232"/>
      <c r="K195" s="233"/>
      <c r="L195" s="132"/>
      <c r="M195" s="133"/>
      <c r="N195" s="247"/>
    </row>
    <row r="196" spans="9:14" x14ac:dyDescent="0.3">
      <c r="I196" s="73" t="s">
        <v>177</v>
      </c>
      <c r="J196" s="228">
        <f t="shared" ref="J196:K196" si="40">J160</f>
        <v>447333.12657771364</v>
      </c>
      <c r="K196" s="229">
        <f t="shared" si="40"/>
        <v>352969.63577353046</v>
      </c>
      <c r="L196" s="208">
        <f>J56*$K$180</f>
        <v>536799.75189325633</v>
      </c>
      <c r="M196" s="218">
        <f>K56*$K$180</f>
        <v>423563.56292823656</v>
      </c>
      <c r="N196" s="247">
        <f t="shared" si="38"/>
        <v>1.2673416669323021</v>
      </c>
    </row>
    <row r="197" spans="9:14" x14ac:dyDescent="0.3">
      <c r="I197" s="73" t="s">
        <v>178</v>
      </c>
      <c r="J197" s="228">
        <f t="shared" ref="J197:K197" si="41">J161</f>
        <v>1858163.5412910206</v>
      </c>
      <c r="K197" s="229">
        <f t="shared" si="41"/>
        <v>1422880.6346916696</v>
      </c>
      <c r="L197" s="208">
        <f t="shared" ref="L197:M197" si="42">J57*$K$180</f>
        <v>2229796.2495492245</v>
      </c>
      <c r="M197" s="218">
        <f t="shared" si="42"/>
        <v>1707456.7616300036</v>
      </c>
      <c r="N197" s="247">
        <f t="shared" si="38"/>
        <v>1.3059166707217673</v>
      </c>
    </row>
    <row r="198" spans="9:14" ht="15" thickBot="1" x14ac:dyDescent="0.35">
      <c r="I198" s="223" t="s">
        <v>179</v>
      </c>
      <c r="J198" s="230">
        <f t="shared" ref="J198:K198" si="43">J162</f>
        <v>2385979.084024522</v>
      </c>
      <c r="K198" s="231">
        <f t="shared" si="43"/>
        <v>1854506.3108546701</v>
      </c>
      <c r="L198" s="224">
        <f t="shared" ref="L198:M198" si="44">J58*$K$180</f>
        <v>2863174.9008294265</v>
      </c>
      <c r="M198" s="225">
        <f t="shared" si="44"/>
        <v>2225407.5730256042</v>
      </c>
      <c r="N198" s="249">
        <f t="shared" si="38"/>
        <v>1.2865845050292208</v>
      </c>
    </row>
    <row r="199" spans="9:14" ht="15" thickTop="1" x14ac:dyDescent="0.3">
      <c r="I199" s="111" t="s">
        <v>93</v>
      </c>
      <c r="J199" s="232"/>
      <c r="K199" s="233"/>
      <c r="L199" s="219"/>
      <c r="M199" s="220"/>
      <c r="N199" s="247"/>
    </row>
    <row r="200" spans="9:14" x14ac:dyDescent="0.3">
      <c r="I200" s="73" t="s">
        <v>180</v>
      </c>
      <c r="J200" s="228">
        <f t="shared" ref="J200:K200" si="45">J164</f>
        <v>3089506.6714749373</v>
      </c>
      <c r="K200" s="229">
        <f t="shared" si="45"/>
        <v>2864324.2697439604</v>
      </c>
      <c r="L200" s="208">
        <f t="shared" ref="L200:M200" si="46">J60*$K$180</f>
        <v>3707408.0057699247</v>
      </c>
      <c r="M200" s="218">
        <f t="shared" si="46"/>
        <v>3437189.1236927523</v>
      </c>
      <c r="N200" s="247">
        <f t="shared" si="38"/>
        <v>1.0786162391282277</v>
      </c>
    </row>
    <row r="201" spans="9:14" x14ac:dyDescent="0.3">
      <c r="I201" s="73" t="s">
        <v>181</v>
      </c>
      <c r="J201" s="228">
        <f t="shared" ref="J201:K201" si="47">J165</f>
        <v>3374287.2701045806</v>
      </c>
      <c r="K201" s="229">
        <f t="shared" si="47"/>
        <v>2861036.0620266865</v>
      </c>
      <c r="L201" s="208">
        <f t="shared" ref="L201:M201" si="48">J61*$K$180</f>
        <v>4049144.7241254966</v>
      </c>
      <c r="M201" s="218">
        <f t="shared" si="48"/>
        <v>3433243.2744320235</v>
      </c>
      <c r="N201" s="247">
        <f t="shared" si="38"/>
        <v>1.1793934773804704</v>
      </c>
    </row>
    <row r="202" spans="9:14" ht="15" thickBot="1" x14ac:dyDescent="0.35">
      <c r="I202" s="223" t="s">
        <v>182</v>
      </c>
      <c r="J202" s="230">
        <f t="shared" ref="J202:K202" si="49">J166</f>
        <v>494946.82338724303</v>
      </c>
      <c r="K202" s="231">
        <f t="shared" si="49"/>
        <v>425557.33249711507</v>
      </c>
      <c r="L202" s="224">
        <f t="shared" ref="L202:M202" si="50">J62*$K$180</f>
        <v>593936.18806469161</v>
      </c>
      <c r="M202" s="225">
        <f t="shared" si="50"/>
        <v>510668.79899653804</v>
      </c>
      <c r="N202" s="249">
        <f t="shared" si="38"/>
        <v>1.1630555640598634</v>
      </c>
    </row>
    <row r="203" spans="9:14" ht="15" thickTop="1" x14ac:dyDescent="0.3">
      <c r="I203" s="109" t="s">
        <v>140</v>
      </c>
      <c r="J203" s="232"/>
      <c r="K203" s="233"/>
      <c r="L203" s="219"/>
      <c r="M203" s="220"/>
      <c r="N203" s="247"/>
    </row>
    <row r="204" spans="9:14" x14ac:dyDescent="0.3">
      <c r="I204" s="73" t="s">
        <v>183</v>
      </c>
      <c r="J204" s="228">
        <f t="shared" ref="J204:K204" si="51">J168</f>
        <v>2290994.356495121</v>
      </c>
      <c r="K204" s="229">
        <f t="shared" si="51"/>
        <v>2014360.8717962652</v>
      </c>
      <c r="L204" s="208">
        <f t="shared" ref="L204:M204" si="52">J64*$K$180</f>
        <v>2749193.2277941452</v>
      </c>
      <c r="M204" s="218">
        <f t="shared" si="52"/>
        <v>2417233.0461555184</v>
      </c>
      <c r="N204" s="247">
        <f t="shared" si="38"/>
        <v>1.1373306484315164</v>
      </c>
    </row>
    <row r="205" spans="9:14" x14ac:dyDescent="0.3">
      <c r="I205" s="73" t="s">
        <v>184</v>
      </c>
      <c r="J205" s="228">
        <f t="shared" ref="J205:K205" si="53">J169</f>
        <v>1656025.9646592138</v>
      </c>
      <c r="K205" s="229">
        <f t="shared" si="53"/>
        <v>1438930.5805986295</v>
      </c>
      <c r="L205" s="208">
        <f t="shared" ref="L205:M205" si="54">J65*$K$180</f>
        <v>1987231.1575910565</v>
      </c>
      <c r="M205" s="218">
        <f t="shared" si="54"/>
        <v>1726716.6967183554</v>
      </c>
      <c r="N205" s="247">
        <f t="shared" si="38"/>
        <v>1.1508727293642389</v>
      </c>
    </row>
    <row r="206" spans="9:14" ht="15" thickBot="1" x14ac:dyDescent="0.35">
      <c r="I206" s="7" t="s">
        <v>185</v>
      </c>
      <c r="J206" s="230">
        <f t="shared" ref="J206:K206" si="55">J170</f>
        <v>2110018.3359426446</v>
      </c>
      <c r="K206" s="231">
        <f t="shared" si="55"/>
        <v>1482828.610601773</v>
      </c>
      <c r="L206" s="224">
        <f t="shared" ref="L206:M206" si="56">J66*$K$180</f>
        <v>2532022.0031311736</v>
      </c>
      <c r="M206" s="225">
        <f t="shared" si="56"/>
        <v>1779394.3327221277</v>
      </c>
      <c r="N206" s="249">
        <f t="shared" si="38"/>
        <v>1.4229684542479528</v>
      </c>
    </row>
    <row r="207" spans="9:14" ht="15.6" thickTop="1" thickBot="1" x14ac:dyDescent="0.35">
      <c r="I207" s="113"/>
      <c r="J207" s="236"/>
      <c r="K207" s="237"/>
      <c r="L207" s="221"/>
      <c r="M207" s="222"/>
      <c r="N207" s="248"/>
    </row>
    <row r="208" spans="9:14" x14ac:dyDescent="0.3">
      <c r="L208" s="53"/>
      <c r="M208" s="53"/>
    </row>
  </sheetData>
  <mergeCells count="16"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 r:id="rId1"/>
  <ignoredErrors>
    <ignoredError sqref="M75 G30:G31 G37:G40 G41:G43 G33:G35" formula="1"/>
    <ignoredError sqref="K93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2424-FA02-4C99-8D35-48573528114E}">
  <sheetPr codeName="Sheet7"/>
  <dimension ref="C3:E29"/>
  <sheetViews>
    <sheetView showGridLines="0" topLeftCell="A19" workbookViewId="0">
      <selection activeCell="E39" sqref="E39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spans="3:5" ht="15" thickBot="1" x14ac:dyDescent="0.35"/>
    <row r="4" spans="3:5" x14ac:dyDescent="0.3">
      <c r="C4" s="250" t="s">
        <v>216</v>
      </c>
      <c r="D4" s="251" t="s">
        <v>98</v>
      </c>
      <c r="E4" s="252" t="s">
        <v>97</v>
      </c>
    </row>
    <row r="5" spans="3:5" x14ac:dyDescent="0.3">
      <c r="C5" s="2" t="s">
        <v>161</v>
      </c>
      <c r="D5" s="8">
        <f>Calculator!J185</f>
        <v>6.864263492262042</v>
      </c>
      <c r="E5" s="79">
        <f>Calculator!K185</f>
        <v>1.835629728161867</v>
      </c>
    </row>
    <row r="6" spans="3:5" ht="15" thickBot="1" x14ac:dyDescent="0.35">
      <c r="C6" s="10"/>
      <c r="D6" s="82"/>
      <c r="E6" s="83"/>
    </row>
    <row r="7" spans="3:5" ht="15" thickBot="1" x14ac:dyDescent="0.35">
      <c r="C7" s="1"/>
      <c r="D7" s="8"/>
      <c r="E7" s="8"/>
    </row>
    <row r="8" spans="3:5" x14ac:dyDescent="0.3">
      <c r="C8" s="250" t="s">
        <v>216</v>
      </c>
      <c r="D8" s="251" t="s">
        <v>98</v>
      </c>
      <c r="E8" s="252" t="s">
        <v>97</v>
      </c>
    </row>
    <row r="9" spans="3:5" x14ac:dyDescent="0.3">
      <c r="C9" s="2" t="s">
        <v>217</v>
      </c>
      <c r="D9" s="6">
        <f>Calculator!J186</f>
        <v>6.366218003907913</v>
      </c>
      <c r="E9" s="81">
        <f>Calculator!K186</f>
        <v>15.270592359037529</v>
      </c>
    </row>
    <row r="10" spans="3:5" ht="15" thickBot="1" x14ac:dyDescent="0.35">
      <c r="C10" s="10"/>
      <c r="D10" s="5"/>
      <c r="E10" s="11"/>
    </row>
    <row r="11" spans="3:5" ht="15" thickBot="1" x14ac:dyDescent="0.35">
      <c r="C11" s="1"/>
      <c r="D11" s="1"/>
      <c r="E11" s="1"/>
    </row>
    <row r="12" spans="3:5" x14ac:dyDescent="0.3">
      <c r="C12" s="250"/>
      <c r="D12" s="251" t="s">
        <v>98</v>
      </c>
      <c r="E12" s="252" t="s">
        <v>97</v>
      </c>
    </row>
    <row r="13" spans="3:5" x14ac:dyDescent="0.3">
      <c r="C13" s="111" t="s">
        <v>160</v>
      </c>
      <c r="D13" s="149"/>
      <c r="E13" s="210"/>
    </row>
    <row r="14" spans="3:5" x14ac:dyDescent="0.3">
      <c r="C14" s="73" t="s">
        <v>174</v>
      </c>
      <c r="D14" s="4">
        <f>Calculator!L192</f>
        <v>1950000</v>
      </c>
      <c r="E14" s="74">
        <f>Calculator!M192</f>
        <v>1568807.9434908044</v>
      </c>
    </row>
    <row r="15" spans="3:5" x14ac:dyDescent="0.3">
      <c r="C15" s="73" t="s">
        <v>175</v>
      </c>
      <c r="D15" s="4">
        <f>Calculator!L193</f>
        <v>914312.12578434916</v>
      </c>
      <c r="E15" s="74">
        <f>Calculator!M193</f>
        <v>3895516.9253876666</v>
      </c>
    </row>
    <row r="16" spans="3:5" x14ac:dyDescent="0.3">
      <c r="C16" s="73" t="s">
        <v>176</v>
      </c>
      <c r="D16" s="4">
        <f>Calculator!L194</f>
        <v>267028.06000000006</v>
      </c>
      <c r="E16" s="74">
        <f>Calculator!M194</f>
        <v>778545.383166246</v>
      </c>
    </row>
    <row r="17" spans="3:5" x14ac:dyDescent="0.3">
      <c r="C17" s="111" t="s">
        <v>92</v>
      </c>
      <c r="D17" s="132"/>
      <c r="E17" s="133"/>
    </row>
    <row r="18" spans="3:5" x14ac:dyDescent="0.3">
      <c r="C18" s="73" t="s">
        <v>177</v>
      </c>
      <c r="D18" s="4">
        <f>Calculator!L196</f>
        <v>536799.75189325633</v>
      </c>
      <c r="E18" s="74">
        <f>Calculator!M196</f>
        <v>423563.56292823656</v>
      </c>
    </row>
    <row r="19" spans="3:5" x14ac:dyDescent="0.3">
      <c r="C19" s="73" t="s">
        <v>178</v>
      </c>
      <c r="D19" s="4">
        <f>Calculator!L197</f>
        <v>2229796.2495492245</v>
      </c>
      <c r="E19" s="74">
        <f>Calculator!M197</f>
        <v>1707456.7616300036</v>
      </c>
    </row>
    <row r="20" spans="3:5" x14ac:dyDescent="0.3">
      <c r="C20" s="73" t="s">
        <v>179</v>
      </c>
      <c r="D20" s="4">
        <f>Calculator!L198</f>
        <v>2863174.9008294265</v>
      </c>
      <c r="E20" s="74">
        <f>Calculator!M198</f>
        <v>2225407.5730256042</v>
      </c>
    </row>
    <row r="21" spans="3:5" x14ac:dyDescent="0.3">
      <c r="C21" s="111" t="s">
        <v>93</v>
      </c>
      <c r="D21" s="132"/>
      <c r="E21" s="133"/>
    </row>
    <row r="22" spans="3:5" x14ac:dyDescent="0.3">
      <c r="C22" s="73" t="s">
        <v>180</v>
      </c>
      <c r="D22" s="4">
        <f>Calculator!L200</f>
        <v>3707408.0057699247</v>
      </c>
      <c r="E22" s="74">
        <f>Calculator!M200</f>
        <v>3437189.1236927523</v>
      </c>
    </row>
    <row r="23" spans="3:5" x14ac:dyDescent="0.3">
      <c r="C23" s="73" t="s">
        <v>181</v>
      </c>
      <c r="D23" s="4">
        <f>Calculator!L201</f>
        <v>4049144.7241254966</v>
      </c>
      <c r="E23" s="74">
        <f>Calculator!M201</f>
        <v>3433243.2744320235</v>
      </c>
    </row>
    <row r="24" spans="3:5" x14ac:dyDescent="0.3">
      <c r="C24" s="73" t="s">
        <v>182</v>
      </c>
      <c r="D24" s="4">
        <f>Calculator!L202</f>
        <v>593936.18806469161</v>
      </c>
      <c r="E24" s="74">
        <f>Calculator!M202</f>
        <v>510668.79899653804</v>
      </c>
    </row>
    <row r="25" spans="3:5" x14ac:dyDescent="0.3">
      <c r="C25" s="109" t="s">
        <v>140</v>
      </c>
      <c r="D25" s="132"/>
      <c r="E25" s="133"/>
    </row>
    <row r="26" spans="3:5" x14ac:dyDescent="0.3">
      <c r="C26" s="73" t="s">
        <v>183</v>
      </c>
      <c r="D26" s="4">
        <f>Calculator!L204</f>
        <v>2749193.2277941452</v>
      </c>
      <c r="E26" s="74">
        <f>Calculator!M204</f>
        <v>2417233.0461555184</v>
      </c>
    </row>
    <row r="27" spans="3:5" x14ac:dyDescent="0.3">
      <c r="C27" s="73" t="s">
        <v>184</v>
      </c>
      <c r="D27" s="4">
        <f>Calculator!L205</f>
        <v>1987231.1575910565</v>
      </c>
      <c r="E27" s="74">
        <f>Calculator!M205</f>
        <v>1726716.6967183554</v>
      </c>
    </row>
    <row r="28" spans="3:5" x14ac:dyDescent="0.3">
      <c r="C28" s="2" t="s">
        <v>185</v>
      </c>
      <c r="D28" s="4">
        <f>Calculator!L206</f>
        <v>2532022.0031311736</v>
      </c>
      <c r="E28" s="74">
        <f>Calculator!M206</f>
        <v>1779394.3327221277</v>
      </c>
    </row>
    <row r="29" spans="3:5" ht="15" thickBot="1" x14ac:dyDescent="0.35">
      <c r="C29" s="283"/>
      <c r="D29" s="156"/>
      <c r="E29" s="28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 spans="4:12" x14ac:dyDescent="0.3">
      <c r="E6" t="s">
        <v>75</v>
      </c>
      <c r="G6" t="s">
        <v>76</v>
      </c>
      <c r="I6" t="s">
        <v>77</v>
      </c>
    </row>
    <row r="7" spans="4:12" x14ac:dyDescent="0.3">
      <c r="D7" t="s">
        <v>99</v>
      </c>
      <c r="E7">
        <v>18</v>
      </c>
      <c r="F7">
        <v>187</v>
      </c>
      <c r="G7">
        <v>32</v>
      </c>
      <c r="H7">
        <v>337</v>
      </c>
      <c r="I7">
        <v>45</v>
      </c>
      <c r="J7">
        <v>472</v>
      </c>
    </row>
    <row r="8" spans="4:12" x14ac:dyDescent="0.3">
      <c r="D8" t="s">
        <v>149</v>
      </c>
      <c r="E8">
        <v>32</v>
      </c>
      <c r="F8">
        <v>32</v>
      </c>
      <c r="G8">
        <v>160</v>
      </c>
      <c r="H8">
        <v>160</v>
      </c>
      <c r="I8">
        <v>480</v>
      </c>
      <c r="J8">
        <v>480</v>
      </c>
      <c r="L8" t="s">
        <v>150</v>
      </c>
    </row>
    <row r="9" spans="4:12" x14ac:dyDescent="0.3">
      <c r="D9" t="s">
        <v>144</v>
      </c>
      <c r="E9" s="53">
        <v>1000000</v>
      </c>
      <c r="F9" s="53">
        <v>259437.255</v>
      </c>
      <c r="G9" s="53">
        <v>2072567.5789473683</v>
      </c>
      <c r="H9" s="53">
        <v>467542.005</v>
      </c>
      <c r="I9" s="53">
        <v>2914548.1578947366</v>
      </c>
      <c r="J9" s="53">
        <v>654836.28</v>
      </c>
    </row>
    <row r="10" spans="4:12" x14ac:dyDescent="0.3">
      <c r="D10" t="s">
        <v>56</v>
      </c>
      <c r="E10" s="53">
        <v>51723.757894736846</v>
      </c>
      <c r="F10" s="53">
        <v>7783.1269999999995</v>
      </c>
      <c r="G10" s="53">
        <v>91953.347368421062</v>
      </c>
      <c r="H10" s="53">
        <v>14026.276999999998</v>
      </c>
      <c r="I10" s="53">
        <v>129309.39473684212</v>
      </c>
      <c r="J10" s="53">
        <v>19645.111999999997</v>
      </c>
    </row>
    <row r="11" spans="4:12" x14ac:dyDescent="0.3">
      <c r="E11" s="53"/>
      <c r="F11" s="53"/>
      <c r="G11" s="53"/>
      <c r="H11" s="53"/>
      <c r="I11" s="53"/>
      <c r="J11" s="53"/>
    </row>
    <row r="12" spans="4:12" x14ac:dyDescent="0.3">
      <c r="D12" t="s">
        <v>145</v>
      </c>
      <c r="E12" s="53">
        <v>159894</v>
      </c>
      <c r="F12" s="53">
        <v>830560.5</v>
      </c>
      <c r="G12" s="53">
        <v>284256</v>
      </c>
      <c r="H12" s="53">
        <v>1496785.5</v>
      </c>
      <c r="I12" s="53">
        <v>399735</v>
      </c>
      <c r="J12" s="53">
        <v>2096388</v>
      </c>
    </row>
    <row r="13" spans="4:12" x14ac:dyDescent="0.3">
      <c r="D13" t="s">
        <v>146</v>
      </c>
      <c r="E13" s="53">
        <v>52780.263157894733</v>
      </c>
      <c r="F13" s="53">
        <v>397608.75</v>
      </c>
      <c r="G13" s="53">
        <v>93831.578947368413</v>
      </c>
      <c r="H13" s="53">
        <v>716546.25</v>
      </c>
      <c r="I13" s="53">
        <v>131950.65789473683</v>
      </c>
      <c r="J13" s="53">
        <v>1003590</v>
      </c>
    </row>
    <row r="14" spans="4:12" x14ac:dyDescent="0.3">
      <c r="D14" t="s">
        <v>147</v>
      </c>
      <c r="E14" s="53">
        <v>238736.84210526317</v>
      </c>
      <c r="F14" s="53">
        <v>134172.5</v>
      </c>
      <c r="G14" s="53">
        <v>424421.05263157899</v>
      </c>
      <c r="H14" s="53">
        <v>241797.5</v>
      </c>
      <c r="I14" s="53">
        <v>596842.10526315798</v>
      </c>
      <c r="J14" s="53">
        <v>338660</v>
      </c>
    </row>
    <row r="15" spans="4:12" x14ac:dyDescent="0.3">
      <c r="E15" s="53"/>
      <c r="F15" s="53"/>
      <c r="G15" s="53"/>
      <c r="H15" s="53"/>
      <c r="I15" s="53"/>
      <c r="J15" s="53"/>
    </row>
    <row r="16" spans="4:12" x14ac:dyDescent="0.3">
      <c r="D16" t="s">
        <v>101</v>
      </c>
      <c r="E16" s="53">
        <v>6639.1578947368416</v>
      </c>
      <c r="F16" s="53">
        <v>15005.1605</v>
      </c>
      <c r="G16" s="53">
        <v>11802.947368421052</v>
      </c>
      <c r="H16" s="53">
        <v>27041.3855</v>
      </c>
      <c r="I16" s="53">
        <v>16597.894736842103</v>
      </c>
      <c r="J16" s="53">
        <v>37873.987999999998</v>
      </c>
    </row>
    <row r="17" spans="4:10" x14ac:dyDescent="0.3">
      <c r="D17" t="s">
        <v>100</v>
      </c>
      <c r="E17" s="53">
        <v>9473.6842105263167</v>
      </c>
      <c r="F17" s="53">
        <v>15005.1605</v>
      </c>
      <c r="G17" s="53">
        <v>16842.105263157897</v>
      </c>
      <c r="H17" s="53">
        <v>33700</v>
      </c>
      <c r="I17" s="53">
        <v>23684.210526315794</v>
      </c>
      <c r="J17" s="53">
        <v>47200</v>
      </c>
    </row>
    <row r="18" spans="4:10" x14ac:dyDescent="0.3">
      <c r="D18" t="s">
        <v>148</v>
      </c>
      <c r="E18" s="53">
        <v>205406.2</v>
      </c>
      <c r="F18" s="53">
        <v>502756.6</v>
      </c>
      <c r="G18" s="53">
        <v>205406.2</v>
      </c>
      <c r="H18" s="53">
        <v>502756.6</v>
      </c>
      <c r="I18" s="53">
        <v>205406.2</v>
      </c>
      <c r="J18" s="53">
        <v>502756.6</v>
      </c>
    </row>
    <row r="19" spans="4:10" x14ac:dyDescent="0.3">
      <c r="E19" s="53"/>
      <c r="F19" s="53"/>
      <c r="G19" s="53"/>
      <c r="H19" s="53"/>
      <c r="I19" s="53"/>
      <c r="J19" s="53"/>
    </row>
    <row r="20" spans="4:10" x14ac:dyDescent="0.3">
      <c r="D20" t="s">
        <v>4</v>
      </c>
      <c r="E20" s="53">
        <v>32000</v>
      </c>
      <c r="F20" s="53">
        <v>224736</v>
      </c>
      <c r="G20" s="53">
        <v>160000</v>
      </c>
      <c r="H20" s="53">
        <v>1123680</v>
      </c>
      <c r="I20" s="53">
        <v>480000</v>
      </c>
      <c r="J20" s="53">
        <v>3371040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Value Drivers</vt:lpstr>
      <vt:lpstr>Macro OUTPUT</vt:lpstr>
      <vt:lpstr>Dropdowns</vt:lpstr>
      <vt:lpstr>Input</vt:lpstr>
      <vt:lpstr>Calculator</vt:lpstr>
      <vt:lpstr>Results</vt:lpstr>
      <vt:lpstr>Costs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2018-11-28T22:35:59Z</dcterms:modified>
</cp:coreProperties>
</file>